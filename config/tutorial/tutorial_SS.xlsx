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d.docs.live.net/f215465b21b5e6e2/Studium/34_Github/TherMOS/config/"/>
    </mc:Choice>
  </mc:AlternateContent>
  <xr:revisionPtr revIDLastSave="21" documentId="13_ncr:1_{5B938DC5-4ECB-444F-9553-4D06EE13B4A9}" xr6:coauthVersionLast="47" xr6:coauthVersionMax="47" xr10:uidLastSave="{4C0C9E97-4FEE-4938-8F6C-0243F12BCCBB}"/>
  <bookViews>
    <workbookView xWindow="-108" yWindow="-108" windowWidth="30936" windowHeight="16896" activeTab="1" xr2:uid="{DB7D2548-4471-4992-93B1-3EC0BA66F7EA}"/>
  </bookViews>
  <sheets>
    <sheet name="readme" sheetId="2" r:id="rId1"/>
    <sheet name="Exp" sheetId="4" r:id="rId2"/>
    <sheet name="Dat" sheetId="9" r:id="rId3"/>
    <sheet name="Mdl" sheetId="10" r:id="rId4"/>
    <sheet name="Pa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<sst xmlns="http://schemas.openxmlformats.org/spreadsheetml/2006/main" count="508" uniqueCount="260">
  <si>
    <t>#</t>
  </si>
  <si>
    <t>Name</t>
  </si>
  <si>
    <t>Unit</t>
  </si>
  <si>
    <t>Variable</t>
  </si>
  <si>
    <t>Date</t>
  </si>
  <si>
    <t>Author</t>
  </si>
  <si>
    <t>Version</t>
  </si>
  <si>
    <t>File</t>
  </si>
  <si>
    <t>Dr. Pascal A. Schirmer</t>
  </si>
  <si>
    <t>v.0.0</t>
  </si>
  <si>
    <t>Changes</t>
  </si>
  <si>
    <t>Editor</t>
  </si>
  <si>
    <t>Lead</t>
  </si>
  <si>
    <t>Pascal Schirmer</t>
  </si>
  <si>
    <t>Description</t>
  </si>
  <si>
    <t>Value</t>
  </si>
  <si>
    <t>-</t>
  </si>
  <si>
    <t>Category</t>
  </si>
  <si>
    <t>%</t>
  </si>
  <si>
    <t>Initial implementation of the config template</t>
  </si>
  <si>
    <t>eps</t>
  </si>
  <si>
    <t>sec</t>
  </si>
  <si>
    <t>samp</t>
  </si>
  <si>
    <t>loss</t>
  </si>
  <si>
    <t>Legend</t>
  </si>
  <si>
    <t>Color-Code</t>
  </si>
  <si>
    <t>Meaning</t>
  </si>
  <si>
    <t>Change</t>
  </si>
  <si>
    <t>Headings</t>
  </si>
  <si>
    <t>No</t>
  </si>
  <si>
    <t>Information (can be changed for personal notes and markup)</t>
  </si>
  <si>
    <t>Yes</t>
  </si>
  <si>
    <t>Input values</t>
  </si>
  <si>
    <t>Variable names read by toolkit</t>
  </si>
  <si>
    <t>13.08.2024</t>
  </si>
  <si>
    <t>templateConfig</t>
  </si>
  <si>
    <t>inter</t>
  </si>
  <si>
    <t>Method used for interpolating data samples:
1) nearest
2) linear
3) spline
4) makima</t>
  </si>
  <si>
    <t>Data Interpolation</t>
  </si>
  <si>
    <t>Data Normalisation X</t>
  </si>
  <si>
    <t>Data Normalisation y</t>
  </si>
  <si>
    <t>Normalisation of the input data:
1) None
2) 0-1
3) Min-Max
4) Mean-Std</t>
  </si>
  <si>
    <t>normX</t>
  </si>
  <si>
    <t>normY</t>
  </si>
  <si>
    <t>Convergence Error</t>
  </si>
  <si>
    <t>Limit for convergence of numerical optimisations</t>
  </si>
  <si>
    <t>Type</t>
  </si>
  <si>
    <t>string</t>
  </si>
  <si>
    <t>integer</t>
  </si>
  <si>
    <t>float+</t>
  </si>
  <si>
    <t>Numerical Toleranz</t>
  </si>
  <si>
    <t>Lower numerical limit</t>
  </si>
  <si>
    <t>Transient Threshold</t>
  </si>
  <si>
    <t xml:space="preserve">Threshold value to separate transient from steady state behavior. If the rate of change is smaller than the threshold (as percent of the maximum rate of change) the signal is assumed to be stationary. </t>
  </si>
  <si>
    <t>th</t>
  </si>
  <si>
    <t>percent</t>
  </si>
  <si>
    <t>Numerical Error Bound</t>
  </si>
  <si>
    <t>Numerical Limit</t>
  </si>
  <si>
    <t>PDE Solver</t>
  </si>
  <si>
    <t>Number Substeps</t>
  </si>
  <si>
    <t>nSub</t>
  </si>
  <si>
    <t>sol</t>
  </si>
  <si>
    <t>sel</t>
  </si>
  <si>
    <t>gen</t>
  </si>
  <si>
    <t>rc</t>
  </si>
  <si>
    <t>err</t>
  </si>
  <si>
    <t>Lower Bound</t>
  </si>
  <si>
    <t>bc</t>
  </si>
  <si>
    <t>Limits the Parameter (Rth, Cth) to be larger than the defined boundary</t>
  </si>
  <si>
    <t>K/W, Ws/K</t>
  </si>
  <si>
    <t>Number of RC pairs used in the Foster model</t>
  </si>
  <si>
    <t>Model Order SS</t>
  </si>
  <si>
    <t>Model Order RC</t>
  </si>
  <si>
    <t>Discretisation SS</t>
  </si>
  <si>
    <t>Noise Modeling</t>
  </si>
  <si>
    <t>Solver</t>
  </si>
  <si>
    <t>Solver Init</t>
  </si>
  <si>
    <t>ss</t>
  </si>
  <si>
    <t>init</t>
  </si>
  <si>
    <t>Model Order POD</t>
  </si>
  <si>
    <t>Mode Selection</t>
  </si>
  <si>
    <t>Maximum Number Modes</t>
  </si>
  <si>
    <t>Energy Captured</t>
  </si>
  <si>
    <t>pod</t>
  </si>
  <si>
    <t>Slope Spezific Resistance</t>
  </si>
  <si>
    <t>Contact Resistance</t>
  </si>
  <si>
    <t>Reference Temperature</t>
  </si>
  <si>
    <t>Forward Losses</t>
  </si>
  <si>
    <t>Backward Losses</t>
  </si>
  <si>
    <t>Initialise Zero</t>
  </si>
  <si>
    <t>Sampling Method</t>
  </si>
  <si>
    <t>Sampling Period</t>
  </si>
  <si>
    <t>Pre-Padding</t>
  </si>
  <si>
    <t>Data Reduction</t>
  </si>
  <si>
    <t>2D Plane</t>
  </si>
  <si>
    <t>This is the used dimension of the toolkit:
1) 1-dimensional
2) 2-dimensional</t>
  </si>
  <si>
    <t>If the model is reduced from 3D to 2D this is the axis at which the 2D plane will be cut:
1) x-Axis (yz-Plane)
2) y-Axis (xz-Plane)
3) z-Axis (xy-Plane)</t>
  </si>
  <si>
    <t>Cutting Position</t>
  </si>
  <si>
    <t>If the model is reduced from 3D to 2D this is the position where the axis will be cut and the 2D plane will be extracted.</t>
  </si>
  <si>
    <t>dOut</t>
  </si>
  <si>
    <t>cut</t>
  </si>
  <si>
    <t>cutVal</t>
  </si>
  <si>
    <t>float</t>
  </si>
  <si>
    <t>m</t>
  </si>
  <si>
    <t>Method for resampling time and spatial data:
1) Zero Order Hold (ZOH)
2) Linear Interpolated (LIN)
3) Spline Interpolation</t>
  </si>
  <si>
    <t>Target sampling period for the internal data usage</t>
  </si>
  <si>
    <t>Number of zero samples that are pre-padded to the input and output.</t>
  </si>
  <si>
    <t>integer+</t>
  </si>
  <si>
    <t>How the initial conditions of the output y are treated:
1) Unchanged
2) Set to zero
3) Remove reference value</t>
  </si>
  <si>
    <t>Input 1D X</t>
  </si>
  <si>
    <t>Input 1D Y</t>
  </si>
  <si>
    <t>Input 1D Z</t>
  </si>
  <si>
    <t>Output 1D X</t>
  </si>
  <si>
    <t>Output 1D Y</t>
  </si>
  <si>
    <t>Output 1D Z</t>
  </si>
  <si>
    <t>inpX</t>
  </si>
  <si>
    <t>inpY</t>
  </si>
  <si>
    <t>inpZ</t>
  </si>
  <si>
    <t>outX</t>
  </si>
  <si>
    <t>outY</t>
  </si>
  <si>
    <t>outZ</t>
  </si>
  <si>
    <t>If the model is reduced to 1D this is the used x position for the input data.</t>
  </si>
  <si>
    <t>If the model is reduced to 1D this is the used y position for the input data.</t>
  </si>
  <si>
    <t>If the model is reduced to 1D this is the used z position for the input data.</t>
  </si>
  <si>
    <t>Ts</t>
  </si>
  <si>
    <t>pad</t>
  </si>
  <si>
    <t>Model order of the SS system, i.e. matrix size</t>
  </si>
  <si>
    <t>K</t>
  </si>
  <si>
    <t>Modeling approach for the SS system:
1) Discrete using Ts as sample time
2) Continuous</t>
  </si>
  <si>
    <t>dis</t>
  </si>
  <si>
    <t>Noise modeling including K matrix in the feedback loop:
1) Noise modeling inactive
2) Noise modeling active</t>
  </si>
  <si>
    <t>noise</t>
  </si>
  <si>
    <t>Solver used to estimate the output of a given state space system:
1) Linear solver (lsim)
2) Matlab estimate</t>
  </si>
  <si>
    <t>Initial conditions for the solver:
1) Zero
2) Estimated</t>
  </si>
  <si>
    <t>sta</t>
  </si>
  <si>
    <t>Method for selecting the number of modes:
1) Fixed number of modes K
2) Minimum energy captured
3) Optimal</t>
  </si>
  <si>
    <t>Constraint for automatically chosing the number of modes.</t>
  </si>
  <si>
    <t>Percentag of energy captured through POD modes</t>
  </si>
  <si>
    <t>Number of POD modes.</t>
  </si>
  <si>
    <t>Lower numerical boundary</t>
  </si>
  <si>
    <t>1) Stability not constraint
2) Stability enforced</t>
  </si>
  <si>
    <t>Numerical error boundary used for convergence</t>
  </si>
  <si>
    <t>PDE solver:
1) ode45 (non-stiff)
2) ode15 (stiff)
3) rk6
4) euf (euler forward)
5) eub (euler backward)
6) tra (trapazoidal rule)</t>
  </si>
  <si>
    <t>Number of substeps per solver iteration</t>
  </si>
  <si>
    <t>0) not correcting losses during training
1) correcting losses during training</t>
  </si>
  <si>
    <t>0) not correcting losses during testing
1) correcting losses during testing</t>
  </si>
  <si>
    <t>bw</t>
  </si>
  <si>
    <t>fw</t>
  </si>
  <si>
    <t>°C</t>
  </si>
  <si>
    <t>Reference temperature for loss calculation</t>
  </si>
  <si>
    <t>Temperature independent contact resistance</t>
  </si>
  <si>
    <t>Ohm</t>
  </si>
  <si>
    <t>Tref</t>
  </si>
  <si>
    <t>Rcon</t>
  </si>
  <si>
    <t>Resistance change per 1 K temperature increase</t>
  </si>
  <si>
    <t>Rslope</t>
  </si>
  <si>
    <t>Maximum Iteration</t>
  </si>
  <si>
    <t>Maximum number of iterations for solvers</t>
  </si>
  <si>
    <t>iterMax</t>
  </si>
  <si>
    <t>Kmax</t>
  </si>
  <si>
    <t>Conduction Resistance</t>
  </si>
  <si>
    <t>Temperature dependent coduction resistance</t>
  </si>
  <si>
    <t>Rohm</t>
  </si>
  <si>
    <t>Spatial Sampling X</t>
  </si>
  <si>
    <t>Spatial Sampling Y</t>
  </si>
  <si>
    <t>Spatial sampling in the first dimension x</t>
  </si>
  <si>
    <t>dx</t>
  </si>
  <si>
    <t>dy</t>
  </si>
  <si>
    <t>Stability</t>
  </si>
  <si>
    <t>Model Order KNN</t>
  </si>
  <si>
    <t>knn</t>
  </si>
  <si>
    <t>Number of neighbors for KNN</t>
  </si>
  <si>
    <t>NSMethod</t>
  </si>
  <si>
    <t>Distance Metric</t>
  </si>
  <si>
    <t>Distance metric used for computing the distance of a new sample with respect to the KNN space:
1) 'cityblock', 
2) 'chebychev', 
3) 'euclidean', 
4) 'minkowski'</t>
  </si>
  <si>
    <t>dist</t>
  </si>
  <si>
    <t>ns</t>
  </si>
  <si>
    <t>Neighbor-searcher method:
1) 'exhaustive'
2) 'kdtree'</t>
  </si>
  <si>
    <t>MinLeafSize</t>
  </si>
  <si>
    <t>MaxNumSplits</t>
  </si>
  <si>
    <t>MinParentSize</t>
  </si>
  <si>
    <t>leaf</t>
  </si>
  <si>
    <t>split</t>
  </si>
  <si>
    <t>parent</t>
  </si>
  <si>
    <t>dt</t>
  </si>
  <si>
    <t>Limits the maximum number of splits in the tree. This parameter directly controls the depth and complexity of the tree. Lower values reduce the tree size, potentially preventing overfitting</t>
  </si>
  <si>
    <t>Specifies the minimum number of observations per leaf. Increasing MinLeafSize can reduce overfitting by preventing the tree from growing too deep</t>
  </si>
  <si>
    <t>Sets the minimum number of observations in a node for it to be split. Larger values create simpler trees, as nodes with fewer observations are left unsplit.</t>
  </si>
  <si>
    <t>Optimize Free Parameters</t>
  </si>
  <si>
    <t>Automated optimisation of free model parameters:
0) fixed parameters
1) optimal parameters</t>
  </si>
  <si>
    <t>opt</t>
  </si>
  <si>
    <t>svm</t>
  </si>
  <si>
    <t>KernelFunction</t>
  </si>
  <si>
    <t>BoxConstraint</t>
  </si>
  <si>
    <t>Epsilon</t>
  </si>
  <si>
    <t>Sets the regularization parameter (C) that controls the trade-off between achieving a low training error and a low testing error (generalization). Higher values lead to fewer support vectors but may overfit.</t>
  </si>
  <si>
    <t>Specifies the epsilon margin in the loss function, which defines a tube within which no penalty is associated with errors.</t>
  </si>
  <si>
    <t>C</t>
  </si>
  <si>
    <t>Specifies the kernel function to use:
1) linear
2) polynomial
3) rbf</t>
  </si>
  <si>
    <t>kernel</t>
  </si>
  <si>
    <t>MaxEpochs</t>
  </si>
  <si>
    <t>GradientThreshold</t>
  </si>
  <si>
    <t>InitialLearnRate</t>
  </si>
  <si>
    <t>LearnRateDropPeriod</t>
  </si>
  <si>
    <t>LearnRateDropFactor</t>
  </si>
  <si>
    <t>ValidationFrequency</t>
  </si>
  <si>
    <t>dl</t>
  </si>
  <si>
    <t>MiniBatchSize</t>
  </si>
  <si>
    <t>Shuffle</t>
  </si>
  <si>
    <t>ValidationPatience</t>
  </si>
  <si>
    <t>Specifies the maximum number of passes through the entire training dataset. Higher values can lead to better training but also increase the risk of overfitting.</t>
  </si>
  <si>
    <t>Specifies the threshold for gradient clipping to prevent the gradients from exploding. It's useful when training deep networks.</t>
  </si>
  <si>
    <t>epoch</t>
  </si>
  <si>
    <t>gradTh</t>
  </si>
  <si>
    <t>initLr</t>
  </si>
  <si>
    <t>The initial step size for updating the weights. A higher value may speed up learning but can cause instability, while a lower value ensures stable convergence.</t>
  </si>
  <si>
    <t>Specifies the number of epochs between reductions of the learning rate when using the 'piecewise' schedule.</t>
  </si>
  <si>
    <t>Specifies the factor by which the learning rate is reduced. For example, a value of 0.2 means the learning rate is multiplied by 0.2 (i.e., reduced by 80%).</t>
  </si>
  <si>
    <t>lrDropPr</t>
  </si>
  <si>
    <t>lrDropFa</t>
  </si>
  <si>
    <t>Specifies the frequency (in iterations) at which the validation performance is computed. This helps in early stopping and monitoring the progress.</t>
  </si>
  <si>
    <t>valFreq</t>
  </si>
  <si>
    <t>Specifies the number of observations to use in each mini-batch. Smaller sizes can reduce memory usage and allow for more frequent updates.</t>
  </si>
  <si>
    <t>batch</t>
  </si>
  <si>
    <t>Specifies how to shuffle the data before each epoch. Options include 'never', 'once', and 'every-epoch':
1) never
2) once
3) every-epoch</t>
  </si>
  <si>
    <t>shu</t>
  </si>
  <si>
    <t>Specifies the number of epochs with no improvement on the validation data before training is stopped.</t>
  </si>
  <si>
    <t>valPat</t>
  </si>
  <si>
    <t>Window Length</t>
  </si>
  <si>
    <t>Window Strides</t>
  </si>
  <si>
    <t>Length of the input window for sequence to point learning. The input dimension of the model is (FxWxNt) where F are the features, W is the window, and Nt are the number of samples.</t>
  </si>
  <si>
    <t>The strides describe the overab from one window to the next window.</t>
  </si>
  <si>
    <t>W</t>
  </si>
  <si>
    <t>stride</t>
  </si>
  <si>
    <t>Emax</t>
  </si>
  <si>
    <t>BasisFunction</t>
  </si>
  <si>
    <t>gpr</t>
  </si>
  <si>
    <t>Explicit basis in the GPR model:
1) Constant
2) Linear
3) Quadratic</t>
  </si>
  <si>
    <t>basis</t>
  </si>
  <si>
    <t>Form of the covariance function, specified as one of the following:
1) Exponential
2) Squareexponential</t>
  </si>
  <si>
    <t>IterationLimit</t>
  </si>
  <si>
    <t>Maximum number of block coordinate descent method ("bcd") iterations.</t>
  </si>
  <si>
    <t>Method</t>
  </si>
  <si>
    <t>en</t>
  </si>
  <si>
    <t>Ensemble aggregation method:
1) LSBoost
2) Bag</t>
  </si>
  <si>
    <t>method</t>
  </si>
  <si>
    <t>LearningCycles</t>
  </si>
  <si>
    <t>Number of ensemble learning cycles</t>
  </si>
  <si>
    <t>cycle</t>
  </si>
  <si>
    <t>nn</t>
  </si>
  <si>
    <t>Maximum number of training iterations</t>
  </si>
  <si>
    <t>NumberLayers</t>
  </si>
  <si>
    <t>Number of fully connected layers in the network.</t>
  </si>
  <si>
    <t>layer</t>
  </si>
  <si>
    <t>NumberNeurons</t>
  </si>
  <si>
    <t>Number of nodes per fully connected layer.</t>
  </si>
  <si>
    <t>nodes</t>
  </si>
  <si>
    <t>Activation</t>
  </si>
  <si>
    <t>Activation functions for the fully connected layers of the neural network model:
1) relu
2) tanh
3) sigmoid</t>
  </si>
  <si>
    <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</si>
</sst>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0">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3">
    <xf numFmtId="0" fontId="0" fillId="0" borderId="0" xfId="0"/>
    <xf numFmtId="0" fontId="1" fillId="0" borderId="1" xfId="0" applyFont="1" applyBorder="1"/>
    <xf numFmtId="0" fontId="1" fillId="0" borderId="3" xfId="0" applyFont="1" applyBorder="1"/>
    <xf numFmtId="0" fontId="0" fillId="0" borderId="2" xfId="0" applyBorder="1"/>
    <xf numFmtId="0" fontId="1" fillId="0" borderId="0" xfId="0" applyFont="1"/>
    <xf numFmtId="0" fontId="0" fillId="3" borderId="4" xfId="0" applyFill="1" applyBorder="1" applyAlignment="1">
      <alignment wrapText="1"/>
    </xf>
    <xf numFmtId="0" fontId="0" fillId="4" borderId="4" xfId="0" applyFill="1" applyBorder="1" applyAlignment="1">
      <alignment horizontal="center" vertical="center"/>
    </xf>
    <xf numFmtId="0" fontId="0" fillId="3" borderId="8" xfId="0" applyFill="1" applyBorder="1" applyAlignment="1">
      <alignment wrapText="1"/>
    </xf>
    <xf numFmtId="0" fontId="0" fillId="3" borderId="11" xfId="0" applyFill="1" applyBorder="1" applyAlignment="1">
      <alignment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2" fontId="0" fillId="4" borderId="4" xfId="0" applyNumberFormat="1" applyFill="1" applyBorder="1" applyAlignment="1">
      <alignment horizontal="center"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1" fillId="0" borderId="20" xfId="0" applyFont="1" applyBorder="1"/>
    <xf numFmtId="0" fontId="1" fillId="0" borderId="21" xfId="0" applyFont="1" applyBorder="1"/>
    <xf numFmtId="0" fontId="1" fillId="0" borderId="22" xfId="0" applyFont="1" applyBorder="1"/>
    <xf numFmtId="0" fontId="0" fillId="5" borderId="23" xfId="0" applyFill="1" applyBorder="1"/>
    <xf numFmtId="0" fontId="0" fillId="0" borderId="24" xfId="0" applyBorder="1"/>
    <xf numFmtId="0" fontId="0" fillId="6" borderId="23" xfId="0" applyFill="1" applyBorder="1"/>
    <xf numFmtId="0" fontId="0" fillId="7" borderId="23" xfId="0" applyFill="1" applyBorder="1"/>
    <xf numFmtId="0" fontId="0" fillId="8" borderId="20" xfId="0" applyFill="1" applyBorder="1"/>
    <xf numFmtId="0" fontId="0" fillId="0" borderId="21" xfId="0" applyBorder="1"/>
    <xf numFmtId="0" fontId="0" fillId="0" borderId="22" xfId="0" applyBorder="1"/>
    <xf numFmtId="0" fontId="0" fillId="8" borderId="4" xfId="0" applyFill="1" applyBorder="1"/>
    <xf numFmtId="0" fontId="0" fillId="8" borderId="4" xfId="0" applyFill="1" applyBorder="1" applyAlignment="1">
      <alignment horizontal="center" vertical="center"/>
    </xf>
    <xf numFmtId="0" fontId="0" fillId="8" borderId="8" xfId="0" applyFill="1" applyBorder="1" applyAlignment="1">
      <alignment horizontal="center" vertical="center"/>
    </xf>
    <xf numFmtId="0" fontId="0" fillId="8" borderId="11" xfId="0" applyFill="1" applyBorder="1" applyAlignment="1">
      <alignment horizontal="center" vertical="center"/>
    </xf>
    <xf numFmtId="0" fontId="0" fillId="8" borderId="6" xfId="0" applyFill="1" applyBorder="1" applyAlignment="1">
      <alignment horizontal="center" vertical="center"/>
    </xf>
    <xf numFmtId="0" fontId="0" fillId="8" borderId="9" xfId="0" applyFill="1" applyBorder="1" applyAlignment="1">
      <alignment horizontal="center" vertical="center"/>
    </xf>
    <xf numFmtId="0" fontId="0" fillId="8" borderId="12" xfId="0" applyFill="1" applyBorder="1" applyAlignment="1">
      <alignment horizontal="center" vertic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4" xfId="0" applyFont="1" applyFill="1" applyBorder="1" applyAlignment="1">
      <alignment horizontal="center" vertical="center"/>
    </xf>
    <xf numFmtId="0" fontId="0" fillId="0" borderId="0" xfId="0" applyAlignment="1">
      <alignment horizontal="center" vertical="center"/>
    </xf>
    <xf numFmtId="0" fontId="0" fillId="3" borderId="25" xfId="0" applyFill="1" applyBorder="1" applyAlignment="1">
      <alignment horizontal="left" vertical="center"/>
    </xf>
    <xf numFmtId="0" fontId="0" fillId="8" borderId="26" xfId="0" applyFill="1" applyBorder="1" applyAlignment="1">
      <alignment horizontal="center" vertical="center"/>
    </xf>
    <xf numFmtId="0" fontId="0" fillId="3" borderId="26" xfId="0" applyFill="1" applyBorder="1" applyAlignment="1">
      <alignment wrapText="1"/>
    </xf>
    <xf numFmtId="0" fontId="0" fillId="8" borderId="27" xfId="0" applyFill="1" applyBorder="1" applyAlignment="1">
      <alignment horizontal="center" vertical="center"/>
    </xf>
    <xf numFmtId="10" fontId="0" fillId="4" borderId="8" xfId="0" applyNumberFormat="1" applyFill="1" applyBorder="1" applyAlignment="1">
      <alignment horizontal="center" vertical="center"/>
    </xf>
    <xf numFmtId="11" fontId="0" fillId="4" borderId="4" xfId="0" applyNumberFormat="1" applyFill="1" applyBorder="1" applyAlignment="1">
      <alignment horizontal="center" vertical="center"/>
    </xf>
    <xf numFmtId="11" fontId="0" fillId="4" borderId="11" xfId="0" applyNumberFormat="1" applyFill="1" applyBorder="1" applyAlignment="1">
      <alignment horizontal="center" vertical="center"/>
    </xf>
    <xf numFmtId="10" fontId="0" fillId="4" borderId="11" xfId="0" applyNumberFormat="1" applyFill="1" applyBorder="1" applyAlignment="1">
      <alignment horizontal="center" vertical="center"/>
    </xf>
    <xf numFmtId="0" fontId="0" fillId="3" borderId="4" xfId="0" applyFill="1" applyBorder="1" applyAlignment="1">
      <alignment vertical="top" wrapText="1"/>
    </xf>
    <xf numFmtId="0" fontId="0" fillId="4" borderId="26" xfId="0" applyFill="1" applyBorder="1" applyAlignment="1">
      <alignment horizontal="center" vertical="center"/>
    </xf>
    <xf numFmtId="0" fontId="0" fillId="4" borderId="29" xfId="0" applyFill="1" applyBorder="1" applyAlignment="1">
      <alignment horizontal="center" vertical="center"/>
    </xf>
    <xf numFmtId="0" fontId="0" fillId="8" borderId="28" xfId="0"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AC4-52E1-45C0-83AC-CC64B56C05A9}">
  <dimension ref="A1:L18"/>
  <sheetViews>
    <sheetView workbookViewId="0">
      <selection activeCell="H31" sqref="H31"/>
    </sheetView>
  </sheetViews>
  <sheetFormatPr defaultColWidth="9.109375" defaultRowHeight="14.4" x14ac:dyDescent="0.3"/>
  <cols>
    <col min="2" max="2" width="18.88671875" bestFit="1" customWidth="1"/>
    <col min="3" max="3" width="10.109375" bestFit="1" customWidth="1"/>
    <col min="4" max="4" width="45.6640625" customWidth="1"/>
    <col min="5" max="6" width="13.6640625" bestFit="1" customWidth="1"/>
    <col min="10" max="10" width="10.44140625" bestFit="1" customWidth="1"/>
    <col min="11" max="11" width="51.33203125" bestFit="1" customWidth="1"/>
  </cols>
  <sheetData>
    <row r="1" spans="1:12" x14ac:dyDescent="0.3">
      <c r="A1" s="4" t="s">
        <v>4</v>
      </c>
      <c r="B1" t="s">
        <v>34</v>
      </c>
    </row>
    <row r="2" spans="1:12" x14ac:dyDescent="0.3">
      <c r="A2" s="4" t="s">
        <v>5</v>
      </c>
      <c r="B2" t="s">
        <v>8</v>
      </c>
    </row>
    <row r="3" spans="1:12" x14ac:dyDescent="0.3">
      <c r="A3" s="4" t="s">
        <v>6</v>
      </c>
      <c r="B3" t="s">
        <v>9</v>
      </c>
    </row>
    <row r="4" spans="1:12" x14ac:dyDescent="0.3">
      <c r="A4" s="4" t="s">
        <v>7</v>
      </c>
      <c r="B4" t="s">
        <v>35</v>
      </c>
    </row>
    <row r="12" spans="1:12" ht="15" thickBot="1" x14ac:dyDescent="0.35"/>
    <row r="13" spans="1:12" ht="15" thickBot="1" x14ac:dyDescent="0.35">
      <c r="A13" s="2" t="s">
        <v>0</v>
      </c>
      <c r="B13" s="1" t="s">
        <v>6</v>
      </c>
      <c r="C13" s="1" t="s">
        <v>4</v>
      </c>
      <c r="D13" s="1" t="s">
        <v>10</v>
      </c>
      <c r="E13" s="1" t="s">
        <v>11</v>
      </c>
      <c r="F13" s="1" t="s">
        <v>12</v>
      </c>
      <c r="J13" s="50" t="s">
        <v>24</v>
      </c>
      <c r="K13" s="51"/>
      <c r="L13" s="52"/>
    </row>
    <row r="14" spans="1:12" ht="15.6" thickTop="1" thickBot="1" x14ac:dyDescent="0.35">
      <c r="A14" s="3">
        <v>1</v>
      </c>
      <c r="B14" t="s">
        <v>9</v>
      </c>
      <c r="C14" t="s">
        <v>34</v>
      </c>
      <c r="D14" t="s">
        <v>19</v>
      </c>
      <c r="E14" t="s">
        <v>13</v>
      </c>
      <c r="F14" t="s">
        <v>13</v>
      </c>
      <c r="J14" s="15" t="s">
        <v>25</v>
      </c>
      <c r="K14" s="16" t="s">
        <v>26</v>
      </c>
      <c r="L14" s="17" t="s">
        <v>27</v>
      </c>
    </row>
    <row r="15" spans="1:12" x14ac:dyDescent="0.3">
      <c r="A15" s="3">
        <v>2</v>
      </c>
      <c r="J15" s="18"/>
      <c r="K15" t="s">
        <v>28</v>
      </c>
      <c r="L15" s="19" t="s">
        <v>29</v>
      </c>
    </row>
    <row r="16" spans="1:12" x14ac:dyDescent="0.3">
      <c r="A16" s="3">
        <v>3</v>
      </c>
      <c r="J16" s="20"/>
      <c r="K16" t="s">
        <v>30</v>
      </c>
      <c r="L16" s="19" t="s">
        <v>31</v>
      </c>
    </row>
    <row r="17" spans="1:12" x14ac:dyDescent="0.3">
      <c r="A17" s="3">
        <v>4</v>
      </c>
      <c r="J17" s="21"/>
      <c r="K17" t="s">
        <v>32</v>
      </c>
      <c r="L17" s="19" t="s">
        <v>31</v>
      </c>
    </row>
    <row r="18" spans="1:12" ht="15" thickBot="1" x14ac:dyDescent="0.35">
      <c r="A18" s="3">
        <v>5</v>
      </c>
      <c r="J18" s="22"/>
      <c r="K18" s="23" t="s">
        <v>33</v>
      </c>
      <c r="L18" s="24" t="s">
        <v>29</v>
      </c>
    </row>
  </sheetData>
  <mergeCells count="1">
    <mergeCell ref="J13:L13"/>
  </mergeCells>
  <pageMargins left="0.7" right="0.7" top="0.75" bottom="0.75" header="0.3" footer="0.3"/>
  <pageSetup paperSize="9" orientation="portrait" r:id="rId1"/>
  <headerFooter>
    <oddFooter>&amp;C_x000D_&amp;1#&amp;"BMW Group Condensed"&amp;12&amp;KC00000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57B-5D2E-4BE1-B462-B4B5EEAA4370}">
  <dimension ref="A1:G30"/>
  <sheetViews>
    <sheetView tabSelected="1" zoomScale="130" zoomScaleNormal="130" workbookViewId="0">
      <selection activeCell="K8" sqref="K8"/>
    </sheetView>
  </sheetViews>
  <sheetFormatPr defaultColWidth="9.109375" defaultRowHeight="14.4" x14ac:dyDescent="0.3"/>
  <cols>
    <col min="1" max="1" width="18.664062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58.2" thickTop="1" x14ac:dyDescent="0.3">
      <c r="A2" s="13" t="s">
        <v>89</v>
      </c>
      <c r="B2" s="26" t="s">
        <v>63</v>
      </c>
      <c r="C2" s="46" t="s">
        <v>108</v>
      </c>
      <c r="D2" s="26" t="s">
        <v>78</v>
      </c>
      <c r="E2" s="26" t="s">
        <v>107</v>
      </c>
      <c r="F2" s="6">
        <v>2</v>
      </c>
      <c r="G2" s="29" t="s">
        <v>16</v>
      </c>
    </row>
    <row r="3" spans="1:7" ht="57.6" x14ac:dyDescent="0.3">
      <c r="A3" s="13" t="s">
        <v>90</v>
      </c>
      <c r="B3" s="26" t="s">
        <v>63</v>
      </c>
      <c r="C3" s="5" t="s">
        <v>104</v>
      </c>
      <c r="D3" s="26" t="s">
        <v>22</v>
      </c>
      <c r="E3" s="26" t="s">
        <v>48</v>
      </c>
      <c r="F3" s="6">
        <v>2</v>
      </c>
      <c r="G3" s="29" t="s">
        <v>16</v>
      </c>
    </row>
    <row r="4" spans="1:7" x14ac:dyDescent="0.3">
      <c r="A4" s="13" t="s">
        <v>91</v>
      </c>
      <c r="B4" s="26" t="s">
        <v>63</v>
      </c>
      <c r="C4" s="5" t="s">
        <v>105</v>
      </c>
      <c r="D4" s="26" t="s">
        <v>124</v>
      </c>
      <c r="E4" s="26" t="s">
        <v>49</v>
      </c>
      <c r="F4" s="11">
        <v>1</v>
      </c>
      <c r="G4" s="29" t="s">
        <v>21</v>
      </c>
    </row>
    <row r="5" spans="1:7" x14ac:dyDescent="0.3">
      <c r="A5" s="13" t="s">
        <v>163</v>
      </c>
      <c r="B5" s="26" t="s">
        <v>63</v>
      </c>
      <c r="C5" s="5" t="s">
        <v>165</v>
      </c>
      <c r="D5" s="26" t="s">
        <v>166</v>
      </c>
      <c r="E5" s="26" t="s">
        <v>49</v>
      </c>
      <c r="F5" s="11">
        <v>0.01</v>
      </c>
      <c r="G5" s="29" t="s">
        <v>103</v>
      </c>
    </row>
    <row r="6" spans="1:7" x14ac:dyDescent="0.3">
      <c r="A6" s="13" t="s">
        <v>164</v>
      </c>
      <c r="B6" s="26" t="s">
        <v>63</v>
      </c>
      <c r="C6" s="5" t="s">
        <v>165</v>
      </c>
      <c r="D6" s="26" t="s">
        <v>167</v>
      </c>
      <c r="E6" s="26" t="s">
        <v>49</v>
      </c>
      <c r="F6" s="11">
        <v>0.01</v>
      </c>
      <c r="G6" s="29" t="s">
        <v>103</v>
      </c>
    </row>
    <row r="7" spans="1:7" ht="28.8" x14ac:dyDescent="0.3">
      <c r="A7" s="13" t="s">
        <v>92</v>
      </c>
      <c r="B7" s="26" t="s">
        <v>63</v>
      </c>
      <c r="C7" s="5" t="s">
        <v>106</v>
      </c>
      <c r="D7" s="26" t="s">
        <v>125</v>
      </c>
      <c r="E7" s="26" t="s">
        <v>107</v>
      </c>
      <c r="F7" s="6">
        <v>5</v>
      </c>
      <c r="G7" s="29" t="s">
        <v>16</v>
      </c>
    </row>
    <row r="8" spans="1:7" x14ac:dyDescent="0.3">
      <c r="A8" s="13"/>
      <c r="B8" s="26"/>
      <c r="C8" s="5"/>
      <c r="D8" s="26"/>
      <c r="E8" s="26"/>
      <c r="F8" s="6"/>
      <c r="G8" s="29"/>
    </row>
    <row r="9" spans="1:7" x14ac:dyDescent="0.3">
      <c r="A9" s="13"/>
      <c r="B9" s="26"/>
      <c r="C9" s="5"/>
      <c r="D9" s="26"/>
      <c r="E9" s="26"/>
      <c r="F9" s="6"/>
      <c r="G9" s="29"/>
    </row>
    <row r="10" spans="1:7" x14ac:dyDescent="0.3">
      <c r="A10" s="13"/>
      <c r="B10" s="26"/>
      <c r="C10" s="5"/>
      <c r="D10" s="26"/>
      <c r="E10" s="26"/>
      <c r="F10" s="6"/>
      <c r="G10" s="29"/>
    </row>
    <row r="11" spans="1:7" x14ac:dyDescent="0.3">
      <c r="A11" s="13"/>
      <c r="B11" s="26"/>
      <c r="C11" s="5"/>
      <c r="D11" s="26"/>
      <c r="E11" s="26"/>
      <c r="F11" s="6"/>
      <c r="G11" s="29"/>
    </row>
    <row r="12" spans="1:7" x14ac:dyDescent="0.3">
      <c r="A12" s="13"/>
      <c r="B12" s="26"/>
      <c r="C12" s="5"/>
      <c r="D12" s="26"/>
      <c r="E12" s="26"/>
      <c r="F12" s="6"/>
      <c r="G12" s="29"/>
    </row>
    <row r="13" spans="1:7" x14ac:dyDescent="0.3">
      <c r="A13" s="13"/>
      <c r="B13" s="26"/>
      <c r="C13" s="5"/>
      <c r="D13" s="26"/>
      <c r="E13" s="26"/>
      <c r="F13" s="6"/>
      <c r="G13" s="29"/>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row r="27" spans="1:7" x14ac:dyDescent="0.3">
      <c r="A27" s="13"/>
      <c r="B27" s="26"/>
      <c r="C27" s="5"/>
      <c r="D27" s="26"/>
      <c r="E27" s="26"/>
      <c r="F27" s="6"/>
      <c r="G27" s="29"/>
    </row>
    <row r="28" spans="1:7" x14ac:dyDescent="0.3">
      <c r="A28" s="13"/>
      <c r="B28" s="26"/>
      <c r="C28" s="5"/>
      <c r="D28" s="26"/>
      <c r="E28" s="26"/>
      <c r="F28" s="6"/>
      <c r="G28" s="29"/>
    </row>
    <row r="29" spans="1:7" x14ac:dyDescent="0.3">
      <c r="A29" s="13"/>
      <c r="B29" s="26"/>
      <c r="C29" s="5"/>
      <c r="D29" s="26"/>
      <c r="E29" s="26"/>
      <c r="F29" s="6"/>
      <c r="G29" s="29"/>
    </row>
    <row r="30" spans="1:7" x14ac:dyDescent="0.3">
      <c r="A30" s="13"/>
      <c r="B30" s="26"/>
      <c r="C30" s="5"/>
      <c r="D30" s="26"/>
      <c r="E30" s="26"/>
      <c r="F30" s="6"/>
      <c r="G30" s="29"/>
    </row>
  </sheetData>
  <dataValidations count="4">
    <dataValidation type="list" allowBlank="1" showInputMessage="1" showErrorMessage="1" sqref="F2:F3" xr:uid="{430B1703-6328-4CF3-B881-934A515A8E04}">
      <formula1>"1, 2, 3"</formula1>
    </dataValidation>
    <dataValidation type="list" allowBlank="1" showInputMessage="1" showErrorMessage="1" sqref="F8:F30" xr:uid="{1242AC91-46A9-4A75-8126-745ADEF79F36}">
      <formula1>"fs, fel"</formula1>
    </dataValidation>
    <dataValidation type="decimal" operator="greaterThan" allowBlank="1" showInputMessage="1" showErrorMessage="1" sqref="F4:F6" xr:uid="{A8468154-AECF-4EB2-8B5F-950EAA6989A2}">
      <formula1>0</formula1>
    </dataValidation>
    <dataValidation type="whole" operator="greaterThan" allowBlank="1" showInputMessage="1" showErrorMessage="1" sqref="F7" xr:uid="{CE82E53E-5A7A-4051-9E6E-6A4D5E40EFB4}">
      <formula1>-1</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0CFD-1D2B-4FE4-A04E-A3C453840C86}">
  <dimension ref="A1:G26"/>
  <sheetViews>
    <sheetView workbookViewId="0">
      <selection activeCell="K17" sqref="K17"/>
    </sheetView>
  </sheetViews>
  <sheetFormatPr defaultColWidth="9.109375" defaultRowHeight="14.4" x14ac:dyDescent="0.3"/>
  <cols>
    <col min="1" max="1" width="18.6640625" bestFit="1" customWidth="1"/>
    <col min="2" max="2" width="13.109375" customWidth="1"/>
    <col min="3" max="3" width="48" bestFit="1" customWidth="1"/>
    <col min="4" max="5" width="10.33203125" customWidth="1"/>
  </cols>
  <sheetData>
    <row r="1" spans="1:7" ht="15" thickBot="1" x14ac:dyDescent="0.35">
      <c r="A1" s="32" t="s">
        <v>1</v>
      </c>
      <c r="B1" s="33" t="s">
        <v>17</v>
      </c>
      <c r="C1" s="33" t="s">
        <v>14</v>
      </c>
      <c r="D1" s="34" t="s">
        <v>3</v>
      </c>
      <c r="E1" s="33" t="s">
        <v>46</v>
      </c>
      <c r="F1" s="33" t="s">
        <v>15</v>
      </c>
      <c r="G1" s="35" t="s">
        <v>2</v>
      </c>
    </row>
    <row r="2" spans="1:7" ht="43.8" thickTop="1" x14ac:dyDescent="0.3">
      <c r="A2" s="13" t="s">
        <v>93</v>
      </c>
      <c r="B2" s="26" t="s">
        <v>63</v>
      </c>
      <c r="C2" s="5" t="s">
        <v>95</v>
      </c>
      <c r="D2" s="26" t="s">
        <v>99</v>
      </c>
      <c r="E2" s="26" t="s">
        <v>48</v>
      </c>
      <c r="F2" s="6">
        <v>1</v>
      </c>
      <c r="G2" s="29" t="s">
        <v>16</v>
      </c>
    </row>
    <row r="3" spans="1:7" ht="72" x14ac:dyDescent="0.3">
      <c r="A3" s="13" t="s">
        <v>94</v>
      </c>
      <c r="B3" s="26" t="s">
        <v>63</v>
      </c>
      <c r="C3" s="5" t="s">
        <v>96</v>
      </c>
      <c r="D3" s="26" t="s">
        <v>100</v>
      </c>
      <c r="E3" s="26" t="s">
        <v>48</v>
      </c>
      <c r="F3" s="6">
        <v>3</v>
      </c>
      <c r="G3" s="29" t="s">
        <v>16</v>
      </c>
    </row>
    <row r="4" spans="1:7" ht="43.2" x14ac:dyDescent="0.3">
      <c r="A4" s="13" t="s">
        <v>97</v>
      </c>
      <c r="B4" s="26" t="s">
        <v>63</v>
      </c>
      <c r="C4" s="5" t="s">
        <v>98</v>
      </c>
      <c r="D4" s="26" t="s">
        <v>101</v>
      </c>
      <c r="E4" s="26" t="s">
        <v>102</v>
      </c>
      <c r="F4" s="11">
        <v>0</v>
      </c>
      <c r="G4" s="29" t="s">
        <v>103</v>
      </c>
    </row>
    <row r="5" spans="1:7" ht="28.8" x14ac:dyDescent="0.3">
      <c r="A5" s="13" t="s">
        <v>109</v>
      </c>
      <c r="B5" s="26" t="s">
        <v>63</v>
      </c>
      <c r="C5" s="5" t="s">
        <v>121</v>
      </c>
      <c r="D5" s="26" t="s">
        <v>115</v>
      </c>
      <c r="E5" s="26" t="s">
        <v>102</v>
      </c>
      <c r="F5" s="11">
        <v>0</v>
      </c>
      <c r="G5" s="29" t="s">
        <v>103</v>
      </c>
    </row>
    <row r="6" spans="1:7" ht="28.8" x14ac:dyDescent="0.3">
      <c r="A6" s="13" t="s">
        <v>110</v>
      </c>
      <c r="B6" s="26" t="s">
        <v>63</v>
      </c>
      <c r="C6" s="5" t="s">
        <v>123</v>
      </c>
      <c r="D6" s="26" t="s">
        <v>116</v>
      </c>
      <c r="E6" s="26" t="s">
        <v>102</v>
      </c>
      <c r="F6" s="11">
        <v>0</v>
      </c>
      <c r="G6" s="29" t="s">
        <v>103</v>
      </c>
    </row>
    <row r="7" spans="1:7" ht="28.8" x14ac:dyDescent="0.3">
      <c r="A7" s="13" t="s">
        <v>111</v>
      </c>
      <c r="B7" s="26" t="s">
        <v>63</v>
      </c>
      <c r="C7" s="5" t="s">
        <v>122</v>
      </c>
      <c r="D7" s="26" t="s">
        <v>117</v>
      </c>
      <c r="E7" s="26" t="s">
        <v>102</v>
      </c>
      <c r="F7" s="11">
        <v>0</v>
      </c>
      <c r="G7" s="29" t="s">
        <v>103</v>
      </c>
    </row>
    <row r="8" spans="1:7" ht="28.8" x14ac:dyDescent="0.3">
      <c r="A8" s="13" t="s">
        <v>112</v>
      </c>
      <c r="B8" s="26" t="s">
        <v>63</v>
      </c>
      <c r="C8" s="5" t="s">
        <v>121</v>
      </c>
      <c r="D8" s="26" t="s">
        <v>118</v>
      </c>
      <c r="E8" s="26" t="s">
        <v>102</v>
      </c>
      <c r="F8" s="11">
        <v>0</v>
      </c>
      <c r="G8" s="29" t="s">
        <v>103</v>
      </c>
    </row>
    <row r="9" spans="1:7" ht="28.8" x14ac:dyDescent="0.3">
      <c r="A9" s="13" t="s">
        <v>113</v>
      </c>
      <c r="B9" s="26" t="s">
        <v>63</v>
      </c>
      <c r="C9" s="5" t="s">
        <v>123</v>
      </c>
      <c r="D9" s="26" t="s">
        <v>119</v>
      </c>
      <c r="E9" s="26" t="s">
        <v>102</v>
      </c>
      <c r="F9" s="11">
        <v>0</v>
      </c>
      <c r="G9" s="29" t="s">
        <v>103</v>
      </c>
    </row>
    <row r="10" spans="1:7" ht="28.8" x14ac:dyDescent="0.3">
      <c r="A10" s="13" t="s">
        <v>114</v>
      </c>
      <c r="B10" s="26" t="s">
        <v>63</v>
      </c>
      <c r="C10" s="5" t="s">
        <v>122</v>
      </c>
      <c r="D10" s="26" t="s">
        <v>120</v>
      </c>
      <c r="E10" s="26" t="s">
        <v>102</v>
      </c>
      <c r="F10" s="11">
        <v>0</v>
      </c>
      <c r="G10" s="29" t="s">
        <v>103</v>
      </c>
    </row>
    <row r="11" spans="1:7" x14ac:dyDescent="0.3">
      <c r="A11" s="13"/>
      <c r="B11" s="25"/>
      <c r="C11" s="5"/>
      <c r="D11" s="26"/>
      <c r="E11" s="26"/>
      <c r="F11" s="6"/>
      <c r="G11" s="29"/>
    </row>
    <row r="12" spans="1:7" x14ac:dyDescent="0.3">
      <c r="A12" s="13"/>
      <c r="B12" s="25"/>
      <c r="C12" s="5"/>
      <c r="D12" s="26"/>
      <c r="E12" s="26"/>
      <c r="F12" s="6"/>
      <c r="G12" s="29"/>
    </row>
    <row r="13" spans="1:7" x14ac:dyDescent="0.3">
      <c r="A13" s="13"/>
      <c r="B13" s="25"/>
      <c r="C13" s="5"/>
      <c r="D13" s="26"/>
      <c r="E13" s="26"/>
      <c r="F13" s="6"/>
      <c r="G13" s="29"/>
    </row>
    <row r="14" spans="1:7" x14ac:dyDescent="0.3">
      <c r="A14" s="13"/>
      <c r="B14" s="25"/>
      <c r="C14" s="5"/>
      <c r="D14" s="26"/>
      <c r="E14" s="26"/>
      <c r="F14" s="6"/>
      <c r="G14" s="29"/>
    </row>
    <row r="15" spans="1:7" x14ac:dyDescent="0.3">
      <c r="A15" s="13"/>
      <c r="B15" s="25"/>
      <c r="C15" s="5"/>
      <c r="D15" s="26"/>
      <c r="E15" s="26"/>
      <c r="F15" s="6"/>
      <c r="G15" s="29"/>
    </row>
    <row r="16" spans="1:7" x14ac:dyDescent="0.3">
      <c r="A16" s="13"/>
      <c r="B16" s="25"/>
      <c r="C16" s="5"/>
      <c r="D16" s="26"/>
      <c r="E16" s="26"/>
      <c r="F16" s="6"/>
      <c r="G16" s="29"/>
    </row>
    <row r="17" spans="1:7" x14ac:dyDescent="0.3">
      <c r="A17" s="13"/>
      <c r="B17" s="25"/>
      <c r="C17" s="5"/>
      <c r="D17" s="26"/>
      <c r="E17" s="26"/>
      <c r="F17" s="6"/>
      <c r="G17" s="29"/>
    </row>
    <row r="18" spans="1:7" x14ac:dyDescent="0.3">
      <c r="A18" s="13"/>
      <c r="B18" s="25"/>
      <c r="C18" s="5"/>
      <c r="D18" s="26"/>
      <c r="E18" s="26"/>
      <c r="F18" s="6"/>
      <c r="G18" s="29"/>
    </row>
    <row r="19" spans="1:7" x14ac:dyDescent="0.3">
      <c r="A19" s="13"/>
      <c r="B19" s="25"/>
      <c r="C19" s="5"/>
      <c r="D19" s="26"/>
      <c r="E19" s="26"/>
      <c r="F19" s="6"/>
      <c r="G19" s="29"/>
    </row>
    <row r="20" spans="1:7" x14ac:dyDescent="0.3">
      <c r="A20" s="13"/>
      <c r="B20" s="25"/>
      <c r="C20" s="5"/>
      <c r="D20" s="26"/>
      <c r="E20" s="26"/>
      <c r="F20" s="6"/>
      <c r="G20" s="29"/>
    </row>
    <row r="21" spans="1:7" x14ac:dyDescent="0.3">
      <c r="A21" s="13"/>
      <c r="B21" s="25"/>
      <c r="C21" s="5"/>
      <c r="D21" s="26"/>
      <c r="E21" s="26"/>
      <c r="F21" s="6"/>
      <c r="G21" s="29"/>
    </row>
    <row r="22" spans="1:7" x14ac:dyDescent="0.3">
      <c r="A22" s="13"/>
      <c r="B22" s="25"/>
      <c r="C22" s="5"/>
      <c r="D22" s="26"/>
      <c r="E22" s="26"/>
      <c r="F22" s="6"/>
      <c r="G22" s="29"/>
    </row>
    <row r="23" spans="1:7" x14ac:dyDescent="0.3">
      <c r="A23" s="13"/>
      <c r="B23" s="25"/>
      <c r="C23" s="5"/>
      <c r="D23" s="26"/>
      <c r="E23" s="26"/>
      <c r="F23" s="6"/>
      <c r="G23" s="29"/>
    </row>
    <row r="24" spans="1:7" x14ac:dyDescent="0.3">
      <c r="A24" s="13"/>
      <c r="B24" s="25"/>
      <c r="C24" s="5"/>
      <c r="D24" s="26"/>
      <c r="E24" s="26"/>
      <c r="F24" s="6"/>
      <c r="G24" s="29"/>
    </row>
    <row r="25" spans="1:7" x14ac:dyDescent="0.3">
      <c r="A25" s="13"/>
      <c r="B25" s="25"/>
      <c r="C25" s="5"/>
      <c r="D25" s="26"/>
      <c r="E25" s="26"/>
      <c r="F25" s="6"/>
      <c r="G25" s="29"/>
    </row>
    <row r="26" spans="1:7" x14ac:dyDescent="0.3">
      <c r="A26" s="13"/>
      <c r="B26" s="25"/>
      <c r="C26" s="5"/>
      <c r="D26" s="26"/>
      <c r="E26" s="26"/>
      <c r="F26" s="6"/>
      <c r="G26" s="29"/>
    </row>
  </sheetData>
  <dataValidations count="3">
    <dataValidation type="list" allowBlank="1" showInputMessage="1" showErrorMessage="1" sqref="F11:F26" xr:uid="{1216C920-F66D-486D-9FEC-8D6771F4D7DB}">
      <formula1>"fs, fel"</formula1>
    </dataValidation>
    <dataValidation type="list" allowBlank="1" showInputMessage="1" showErrorMessage="1" sqref="F3" xr:uid="{F91803D7-6ECC-462D-BB39-BF39F2230D48}">
      <formula1>"1, 2, 3"</formula1>
    </dataValidation>
    <dataValidation type="list" allowBlank="1" showInputMessage="1" showErrorMessage="1" sqref="F2" xr:uid="{83ADC3B0-4649-4A01-9D68-DDE40B796C91}">
      <formula1>"1, 2"</formula1>
    </dataValidation>
  </dataValidations>
  <pageMargins left="0.7" right="0.7" top="0.75" bottom="0.75" header="0.3" footer="0.3"/>
  <headerFooter>
    <oddFooter>&amp;C_x000D_&amp;1#&amp;"BMW Group Condensed"&amp;12&amp;KC00000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BFCB-8244-4B83-8CC9-EBD2890613E5}">
  <dimension ref="A1:G53"/>
  <sheetViews>
    <sheetView topLeftCell="A4" workbookViewId="0">
      <selection activeCell="F12" sqref="F12"/>
    </sheetView>
  </sheetViews>
  <sheetFormatPr defaultColWidth="9.109375" defaultRowHeight="14.4" x14ac:dyDescent="0.3"/>
  <cols>
    <col min="1" max="1" width="29.33203125" bestFit="1" customWidth="1"/>
    <col min="2" max="2" width="13.109375" style="37" customWidth="1"/>
    <col min="3" max="3" width="48" bestFit="1" customWidth="1"/>
    <col min="4" max="5" width="10.33203125" customWidth="1"/>
    <col min="7" max="7" width="9.6640625" bestFit="1" customWidth="1"/>
  </cols>
  <sheetData>
    <row r="1" spans="1:7" ht="15" thickBot="1" x14ac:dyDescent="0.35">
      <c r="A1" s="32" t="s">
        <v>1</v>
      </c>
      <c r="B1" s="36" t="s">
        <v>17</v>
      </c>
      <c r="C1" s="33" t="s">
        <v>14</v>
      </c>
      <c r="D1" s="34" t="s">
        <v>3</v>
      </c>
      <c r="E1" s="33" t="s">
        <v>46</v>
      </c>
      <c r="F1" s="33" t="s">
        <v>15</v>
      </c>
      <c r="G1" s="35" t="s">
        <v>2</v>
      </c>
    </row>
    <row r="2" spans="1:7" ht="15" thickTop="1" x14ac:dyDescent="0.3">
      <c r="A2" s="12" t="s">
        <v>56</v>
      </c>
      <c r="B2" s="28" t="s">
        <v>63</v>
      </c>
      <c r="C2" s="8" t="s">
        <v>141</v>
      </c>
      <c r="D2" s="28" t="s">
        <v>65</v>
      </c>
      <c r="E2" s="28" t="s">
        <v>49</v>
      </c>
      <c r="F2" s="44">
        <v>1E-3</v>
      </c>
      <c r="G2" s="31" t="s">
        <v>16</v>
      </c>
    </row>
    <row r="3" spans="1:7" x14ac:dyDescent="0.3">
      <c r="A3" s="13" t="s">
        <v>57</v>
      </c>
      <c r="B3" s="26" t="s">
        <v>63</v>
      </c>
      <c r="C3" s="5" t="s">
        <v>139</v>
      </c>
      <c r="D3" s="26" t="s">
        <v>20</v>
      </c>
      <c r="E3" s="26" t="s">
        <v>49</v>
      </c>
      <c r="F3" s="43">
        <v>9.9999999999999998E-13</v>
      </c>
      <c r="G3" s="29" t="s">
        <v>16</v>
      </c>
    </row>
    <row r="4" spans="1:7" ht="100.8" x14ac:dyDescent="0.3">
      <c r="A4" s="13" t="s">
        <v>58</v>
      </c>
      <c r="B4" s="26" t="s">
        <v>63</v>
      </c>
      <c r="C4" s="5" t="s">
        <v>142</v>
      </c>
      <c r="D4" s="26" t="s">
        <v>61</v>
      </c>
      <c r="E4" s="26" t="s">
        <v>47</v>
      </c>
      <c r="F4" s="6">
        <v>1</v>
      </c>
      <c r="G4" s="29" t="s">
        <v>16</v>
      </c>
    </row>
    <row r="5" spans="1:7" x14ac:dyDescent="0.3">
      <c r="A5" s="38" t="s">
        <v>156</v>
      </c>
      <c r="B5" s="39" t="s">
        <v>63</v>
      </c>
      <c r="C5" s="40" t="s">
        <v>157</v>
      </c>
      <c r="D5" s="39" t="s">
        <v>158</v>
      </c>
      <c r="E5" s="39" t="s">
        <v>48</v>
      </c>
      <c r="F5" s="47">
        <v>10000</v>
      </c>
      <c r="G5" s="41" t="s">
        <v>16</v>
      </c>
    </row>
    <row r="6" spans="1:7" x14ac:dyDescent="0.3">
      <c r="A6" s="38" t="s">
        <v>59</v>
      </c>
      <c r="B6" s="39" t="s">
        <v>63</v>
      </c>
      <c r="C6" s="40" t="s">
        <v>143</v>
      </c>
      <c r="D6" s="39" t="s">
        <v>60</v>
      </c>
      <c r="E6" s="39" t="s">
        <v>48</v>
      </c>
      <c r="F6" s="47">
        <v>20</v>
      </c>
      <c r="G6" s="41" t="s">
        <v>16</v>
      </c>
    </row>
    <row r="7" spans="1:7" ht="43.2" x14ac:dyDescent="0.3">
      <c r="A7" s="38" t="s">
        <v>188</v>
      </c>
      <c r="B7" s="39" t="s">
        <v>63</v>
      </c>
      <c r="C7" s="40" t="s">
        <v>189</v>
      </c>
      <c r="D7" s="39" t="s">
        <v>190</v>
      </c>
      <c r="E7" s="26" t="s">
        <v>48</v>
      </c>
      <c r="F7" s="6">
        <v>0</v>
      </c>
      <c r="G7" s="29" t="s">
        <v>16</v>
      </c>
    </row>
    <row r="8" spans="1:7" ht="28.8" x14ac:dyDescent="0.3">
      <c r="A8" s="13" t="s">
        <v>81</v>
      </c>
      <c r="B8" s="26" t="s">
        <v>63</v>
      </c>
      <c r="C8" s="5" t="s">
        <v>136</v>
      </c>
      <c r="D8" s="26" t="s">
        <v>159</v>
      </c>
      <c r="E8" s="28" t="s">
        <v>48</v>
      </c>
      <c r="F8" s="9">
        <v>10</v>
      </c>
      <c r="G8" s="31" t="s">
        <v>16</v>
      </c>
    </row>
    <row r="9" spans="1:7" ht="15" thickBot="1" x14ac:dyDescent="0.35">
      <c r="A9" s="14" t="s">
        <v>82</v>
      </c>
      <c r="B9" s="27" t="s">
        <v>63</v>
      </c>
      <c r="C9" s="7" t="s">
        <v>137</v>
      </c>
      <c r="D9" s="27" t="s">
        <v>234</v>
      </c>
      <c r="E9" s="27" t="s">
        <v>55</v>
      </c>
      <c r="F9" s="42">
        <v>0.99990000000000001</v>
      </c>
      <c r="G9" s="30" t="s">
        <v>18</v>
      </c>
    </row>
    <row r="10" spans="1:7" x14ac:dyDescent="0.3">
      <c r="A10" s="12" t="s">
        <v>72</v>
      </c>
      <c r="B10" s="28" t="s">
        <v>64</v>
      </c>
      <c r="C10" s="8" t="s">
        <v>70</v>
      </c>
      <c r="D10" s="28" t="s">
        <v>127</v>
      </c>
      <c r="E10" s="28" t="s">
        <v>48</v>
      </c>
      <c r="F10" s="9">
        <v>3</v>
      </c>
      <c r="G10" s="31" t="s">
        <v>16</v>
      </c>
    </row>
    <row r="11" spans="1:7" ht="29.4" thickBot="1" x14ac:dyDescent="0.35">
      <c r="A11" s="14" t="s">
        <v>66</v>
      </c>
      <c r="B11" s="27" t="s">
        <v>64</v>
      </c>
      <c r="C11" s="7" t="s">
        <v>68</v>
      </c>
      <c r="D11" s="27" t="s">
        <v>67</v>
      </c>
      <c r="E11" s="27" t="s">
        <v>102</v>
      </c>
      <c r="F11" s="10">
        <v>0</v>
      </c>
      <c r="G11" s="30" t="s">
        <v>69</v>
      </c>
    </row>
    <row r="12" spans="1:7" x14ac:dyDescent="0.3">
      <c r="A12" s="12" t="s">
        <v>71</v>
      </c>
      <c r="B12" s="28" t="s">
        <v>77</v>
      </c>
      <c r="C12" s="8" t="s">
        <v>126</v>
      </c>
      <c r="D12" s="28" t="s">
        <v>127</v>
      </c>
      <c r="E12" s="28" t="s">
        <v>48</v>
      </c>
      <c r="F12" s="9">
        <v>2</v>
      </c>
      <c r="G12" s="31" t="s">
        <v>16</v>
      </c>
    </row>
    <row r="13" spans="1:7" ht="43.2" x14ac:dyDescent="0.3">
      <c r="A13" s="13" t="s">
        <v>73</v>
      </c>
      <c r="B13" s="26" t="s">
        <v>77</v>
      </c>
      <c r="C13" s="5" t="s">
        <v>128</v>
      </c>
      <c r="D13" s="26" t="s">
        <v>129</v>
      </c>
      <c r="E13" s="26" t="s">
        <v>48</v>
      </c>
      <c r="F13" s="6">
        <v>2</v>
      </c>
      <c r="G13" s="29" t="s">
        <v>16</v>
      </c>
    </row>
    <row r="14" spans="1:7" ht="43.2" x14ac:dyDescent="0.3">
      <c r="A14" s="13" t="s">
        <v>74</v>
      </c>
      <c r="B14" s="26" t="s">
        <v>77</v>
      </c>
      <c r="C14" s="5" t="s">
        <v>130</v>
      </c>
      <c r="D14" s="26" t="s">
        <v>131</v>
      </c>
      <c r="E14" s="26" t="s">
        <v>48</v>
      </c>
      <c r="F14" s="6">
        <v>1</v>
      </c>
      <c r="G14" s="29" t="s">
        <v>16</v>
      </c>
    </row>
    <row r="15" spans="1:7" ht="57.6" x14ac:dyDescent="0.3">
      <c r="A15" s="13" t="s">
        <v>75</v>
      </c>
      <c r="B15" s="26" t="s">
        <v>77</v>
      </c>
      <c r="C15" s="5" t="s">
        <v>132</v>
      </c>
      <c r="D15" s="26" t="s">
        <v>61</v>
      </c>
      <c r="E15" s="26" t="s">
        <v>48</v>
      </c>
      <c r="F15" s="6">
        <v>1</v>
      </c>
      <c r="G15" s="29" t="s">
        <v>16</v>
      </c>
    </row>
    <row r="16" spans="1:7" ht="43.2" x14ac:dyDescent="0.3">
      <c r="A16" s="13" t="s">
        <v>76</v>
      </c>
      <c r="B16" s="26" t="s">
        <v>77</v>
      </c>
      <c r="C16" s="5" t="s">
        <v>133</v>
      </c>
      <c r="D16" s="26" t="s">
        <v>78</v>
      </c>
      <c r="E16" s="26" t="s">
        <v>48</v>
      </c>
      <c r="F16" s="6">
        <v>1</v>
      </c>
      <c r="G16" s="29" t="s">
        <v>16</v>
      </c>
    </row>
    <row r="17" spans="1:7" ht="29.4" thickBot="1" x14ac:dyDescent="0.35">
      <c r="A17" s="14" t="s">
        <v>168</v>
      </c>
      <c r="B17" s="27" t="s">
        <v>77</v>
      </c>
      <c r="C17" s="7" t="s">
        <v>140</v>
      </c>
      <c r="D17" s="27" t="s">
        <v>134</v>
      </c>
      <c r="E17" s="27" t="s">
        <v>48</v>
      </c>
      <c r="F17" s="10">
        <v>1</v>
      </c>
      <c r="G17" s="30" t="s">
        <v>16</v>
      </c>
    </row>
    <row r="18" spans="1:7" x14ac:dyDescent="0.3">
      <c r="A18" s="12" t="s">
        <v>79</v>
      </c>
      <c r="B18" s="28" t="s">
        <v>83</v>
      </c>
      <c r="C18" s="8" t="s">
        <v>138</v>
      </c>
      <c r="D18" s="28" t="s">
        <v>127</v>
      </c>
      <c r="E18" s="28" t="s">
        <v>48</v>
      </c>
      <c r="F18" s="9">
        <v>3</v>
      </c>
      <c r="G18" s="31" t="s">
        <v>16</v>
      </c>
    </row>
    <row r="19" spans="1:7" ht="58.2" thickBot="1" x14ac:dyDescent="0.35">
      <c r="A19" s="14" t="s">
        <v>80</v>
      </c>
      <c r="B19" s="27" t="s">
        <v>83</v>
      </c>
      <c r="C19" s="7" t="s">
        <v>135</v>
      </c>
      <c r="D19" s="27" t="s">
        <v>62</v>
      </c>
      <c r="E19" s="27" t="s">
        <v>48</v>
      </c>
      <c r="F19" s="10">
        <v>1</v>
      </c>
      <c r="G19" s="30" t="s">
        <v>16</v>
      </c>
    </row>
    <row r="20" spans="1:7" x14ac:dyDescent="0.3">
      <c r="A20" s="12" t="s">
        <v>169</v>
      </c>
      <c r="B20" s="28" t="s">
        <v>170</v>
      </c>
      <c r="C20" s="8" t="s">
        <v>171</v>
      </c>
      <c r="D20" s="28" t="s">
        <v>127</v>
      </c>
      <c r="E20" s="28" t="s">
        <v>48</v>
      </c>
      <c r="F20" s="9">
        <v>3</v>
      </c>
      <c r="G20" s="31" t="s">
        <v>16</v>
      </c>
    </row>
    <row r="21" spans="1:7" ht="43.2" x14ac:dyDescent="0.3">
      <c r="A21" s="13" t="s">
        <v>172</v>
      </c>
      <c r="B21" s="26" t="s">
        <v>170</v>
      </c>
      <c r="C21" s="5" t="s">
        <v>177</v>
      </c>
      <c r="D21" s="26" t="s">
        <v>176</v>
      </c>
      <c r="E21" s="26" t="s">
        <v>48</v>
      </c>
      <c r="F21" s="6">
        <v>1</v>
      </c>
      <c r="G21" s="29"/>
    </row>
    <row r="22" spans="1:7" ht="86.4" x14ac:dyDescent="0.3">
      <c r="A22" s="13" t="s">
        <v>173</v>
      </c>
      <c r="B22" s="26" t="s">
        <v>170</v>
      </c>
      <c r="C22" s="5" t="s">
        <v>174</v>
      </c>
      <c r="D22" s="26" t="s">
        <v>175</v>
      </c>
      <c r="E22" s="26" t="s">
        <v>47</v>
      </c>
      <c r="F22" s="6">
        <v>3</v>
      </c>
      <c r="G22" s="29" t="s">
        <v>16</v>
      </c>
    </row>
    <row r="23" spans="1:7" ht="43.2" x14ac:dyDescent="0.3">
      <c r="A23" s="12" t="s">
        <v>178</v>
      </c>
      <c r="B23" s="28" t="s">
        <v>184</v>
      </c>
      <c r="C23" s="8" t="s">
        <v>186</v>
      </c>
      <c r="D23" s="28" t="s">
        <v>181</v>
      </c>
      <c r="E23" s="28" t="s">
        <v>48</v>
      </c>
      <c r="F23" s="9">
        <v>10</v>
      </c>
      <c r="G23" s="31" t="s">
        <v>16</v>
      </c>
    </row>
    <row r="24" spans="1:7" ht="57.6" x14ac:dyDescent="0.3">
      <c r="A24" s="13" t="s">
        <v>179</v>
      </c>
      <c r="B24" s="26" t="s">
        <v>184</v>
      </c>
      <c r="C24" s="5" t="s">
        <v>185</v>
      </c>
      <c r="D24" s="26" t="s">
        <v>182</v>
      </c>
      <c r="E24" s="26" t="s">
        <v>48</v>
      </c>
      <c r="F24" s="6">
        <v>50</v>
      </c>
      <c r="G24" s="29" t="s">
        <v>16</v>
      </c>
    </row>
    <row r="25" spans="1:7" ht="43.8" thickBot="1" x14ac:dyDescent="0.35">
      <c r="A25" s="14" t="s">
        <v>180</v>
      </c>
      <c r="B25" s="27" t="s">
        <v>184</v>
      </c>
      <c r="C25" s="7" t="s">
        <v>187</v>
      </c>
      <c r="D25" s="27" t="s">
        <v>183</v>
      </c>
      <c r="E25" s="27" t="s">
        <v>48</v>
      </c>
      <c r="F25" s="10">
        <v>20</v>
      </c>
      <c r="G25" s="30" t="s">
        <v>16</v>
      </c>
    </row>
    <row r="26" spans="1:7" ht="57.6" x14ac:dyDescent="0.3">
      <c r="A26" s="12" t="s">
        <v>192</v>
      </c>
      <c r="B26" s="28" t="s">
        <v>191</v>
      </c>
      <c r="C26" s="8" t="s">
        <v>198</v>
      </c>
      <c r="D26" s="28" t="s">
        <v>199</v>
      </c>
      <c r="E26" s="28" t="s">
        <v>47</v>
      </c>
      <c r="F26" s="48">
        <v>1</v>
      </c>
      <c r="G26" s="49" t="s">
        <v>16</v>
      </c>
    </row>
    <row r="27" spans="1:7" ht="57.6" x14ac:dyDescent="0.3">
      <c r="A27" s="13" t="s">
        <v>193</v>
      </c>
      <c r="B27" s="26" t="s">
        <v>191</v>
      </c>
      <c r="C27" s="5" t="s">
        <v>195</v>
      </c>
      <c r="D27" s="26" t="s">
        <v>197</v>
      </c>
      <c r="E27" s="26" t="s">
        <v>49</v>
      </c>
      <c r="F27" s="9">
        <v>1</v>
      </c>
      <c r="G27" s="31" t="s">
        <v>16</v>
      </c>
    </row>
    <row r="28" spans="1:7" ht="43.8" thickBot="1" x14ac:dyDescent="0.35">
      <c r="A28" s="14" t="s">
        <v>194</v>
      </c>
      <c r="B28" s="27" t="s">
        <v>191</v>
      </c>
      <c r="C28" s="7" t="s">
        <v>196</v>
      </c>
      <c r="D28" s="27" t="s">
        <v>20</v>
      </c>
      <c r="E28" s="27" t="s">
        <v>49</v>
      </c>
      <c r="F28" s="10">
        <v>1</v>
      </c>
      <c r="G28" s="30" t="s">
        <v>16</v>
      </c>
    </row>
    <row r="29" spans="1:7" ht="43.2" x14ac:dyDescent="0.3">
      <c r="A29" s="12" t="s">
        <v>200</v>
      </c>
      <c r="B29" s="28" t="s">
        <v>206</v>
      </c>
      <c r="C29" s="8" t="s">
        <v>210</v>
      </c>
      <c r="D29" s="28" t="s">
        <v>212</v>
      </c>
      <c r="E29" s="26" t="s">
        <v>48</v>
      </c>
      <c r="F29" s="6">
        <v>100</v>
      </c>
      <c r="G29" s="29" t="s">
        <v>16</v>
      </c>
    </row>
    <row r="30" spans="1:7" ht="43.2" x14ac:dyDescent="0.3">
      <c r="A30" s="13" t="s">
        <v>201</v>
      </c>
      <c r="B30" s="26" t="s">
        <v>206</v>
      </c>
      <c r="C30" s="5" t="s">
        <v>211</v>
      </c>
      <c r="D30" s="26" t="s">
        <v>213</v>
      </c>
      <c r="E30" s="26" t="s">
        <v>49</v>
      </c>
      <c r="F30" s="9">
        <v>1</v>
      </c>
      <c r="G30" s="31" t="s">
        <v>16</v>
      </c>
    </row>
    <row r="31" spans="1:7" ht="43.2" x14ac:dyDescent="0.3">
      <c r="A31" s="13" t="s">
        <v>202</v>
      </c>
      <c r="B31" s="26" t="s">
        <v>206</v>
      </c>
      <c r="C31" s="5" t="s">
        <v>215</v>
      </c>
      <c r="D31" s="26" t="s">
        <v>214</v>
      </c>
      <c r="E31" s="26" t="s">
        <v>49</v>
      </c>
      <c r="F31" s="9">
        <v>5.0000000000000001E-3</v>
      </c>
      <c r="G31" s="31" t="s">
        <v>16</v>
      </c>
    </row>
    <row r="32" spans="1:7" ht="28.8" x14ac:dyDescent="0.3">
      <c r="A32" s="13" t="s">
        <v>203</v>
      </c>
      <c r="B32" s="26" t="s">
        <v>206</v>
      </c>
      <c r="C32" s="5" t="s">
        <v>216</v>
      </c>
      <c r="D32" s="26" t="s">
        <v>218</v>
      </c>
      <c r="E32" s="26" t="s">
        <v>48</v>
      </c>
      <c r="F32" s="6">
        <v>50</v>
      </c>
      <c r="G32" s="31" t="s">
        <v>16</v>
      </c>
    </row>
    <row r="33" spans="1:7" ht="43.2" x14ac:dyDescent="0.3">
      <c r="A33" s="13" t="s">
        <v>204</v>
      </c>
      <c r="B33" s="26" t="s">
        <v>206</v>
      </c>
      <c r="C33" s="5" t="s">
        <v>217</v>
      </c>
      <c r="D33" s="26" t="s">
        <v>219</v>
      </c>
      <c r="E33" s="26" t="s">
        <v>49</v>
      </c>
      <c r="F33" s="9">
        <v>0.2</v>
      </c>
      <c r="G33" s="29" t="s">
        <v>16</v>
      </c>
    </row>
    <row r="34" spans="1:7" ht="43.2" x14ac:dyDescent="0.3">
      <c r="A34" s="13" t="s">
        <v>205</v>
      </c>
      <c r="B34" s="26" t="s">
        <v>206</v>
      </c>
      <c r="C34" s="5" t="s">
        <v>220</v>
      </c>
      <c r="D34" s="26" t="s">
        <v>221</v>
      </c>
      <c r="E34" s="26" t="s">
        <v>48</v>
      </c>
      <c r="F34" s="6">
        <v>10</v>
      </c>
      <c r="G34" s="29" t="s">
        <v>16</v>
      </c>
    </row>
    <row r="35" spans="1:7" ht="43.2" x14ac:dyDescent="0.3">
      <c r="A35" s="13" t="s">
        <v>207</v>
      </c>
      <c r="B35" s="26" t="s">
        <v>206</v>
      </c>
      <c r="C35" s="5" t="s">
        <v>222</v>
      </c>
      <c r="D35" s="26" t="s">
        <v>223</v>
      </c>
      <c r="E35" s="26" t="s">
        <v>48</v>
      </c>
      <c r="F35" s="6">
        <v>64</v>
      </c>
      <c r="G35" s="29" t="s">
        <v>16</v>
      </c>
    </row>
    <row r="36" spans="1:7" ht="72" x14ac:dyDescent="0.3">
      <c r="A36" s="13" t="s">
        <v>208</v>
      </c>
      <c r="B36" s="26" t="s">
        <v>206</v>
      </c>
      <c r="C36" s="5" t="s">
        <v>224</v>
      </c>
      <c r="D36" s="26" t="s">
        <v>225</v>
      </c>
      <c r="E36" s="26" t="s">
        <v>48</v>
      </c>
      <c r="F36" s="6">
        <v>1</v>
      </c>
      <c r="G36" s="29" t="s">
        <v>16</v>
      </c>
    </row>
    <row r="37" spans="1:7" ht="57.6" x14ac:dyDescent="0.3">
      <c r="A37" s="38" t="s">
        <v>228</v>
      </c>
      <c r="B37" s="39" t="s">
        <v>206</v>
      </c>
      <c r="C37" s="40" t="s">
        <v>230</v>
      </c>
      <c r="D37" s="39" t="s">
        <v>232</v>
      </c>
      <c r="E37" s="26" t="s">
        <v>48</v>
      </c>
      <c r="F37" s="6">
        <v>50</v>
      </c>
      <c r="G37" s="29" t="s">
        <v>16</v>
      </c>
    </row>
    <row r="38" spans="1:7" ht="28.8" x14ac:dyDescent="0.3">
      <c r="A38" s="38" t="s">
        <v>229</v>
      </c>
      <c r="B38" s="39" t="s">
        <v>206</v>
      </c>
      <c r="C38" s="40" t="s">
        <v>231</v>
      </c>
      <c r="D38" s="39" t="s">
        <v>233</v>
      </c>
      <c r="E38" s="26" t="s">
        <v>48</v>
      </c>
      <c r="F38" s="6">
        <v>1</v>
      </c>
      <c r="G38" s="29" t="s">
        <v>16</v>
      </c>
    </row>
    <row r="39" spans="1:7" ht="29.4" thickBot="1" x14ac:dyDescent="0.35">
      <c r="A39" s="14" t="s">
        <v>209</v>
      </c>
      <c r="B39" s="27" t="s">
        <v>206</v>
      </c>
      <c r="C39" s="7" t="s">
        <v>226</v>
      </c>
      <c r="D39" s="27" t="s">
        <v>227</v>
      </c>
      <c r="E39" s="27" t="s">
        <v>48</v>
      </c>
      <c r="F39" s="10">
        <v>5</v>
      </c>
      <c r="G39" s="30" t="s">
        <v>16</v>
      </c>
    </row>
    <row r="40" spans="1:7" ht="57.6" x14ac:dyDescent="0.3">
      <c r="A40" s="12" t="s">
        <v>235</v>
      </c>
      <c r="B40" s="28" t="s">
        <v>236</v>
      </c>
      <c r="C40" s="8" t="s">
        <v>237</v>
      </c>
      <c r="D40" s="28" t="s">
        <v>238</v>
      </c>
      <c r="E40" s="28" t="s">
        <v>107</v>
      </c>
      <c r="F40" s="48">
        <v>1</v>
      </c>
      <c r="G40" s="31" t="s">
        <v>16</v>
      </c>
    </row>
    <row r="41" spans="1:7" ht="57.6" x14ac:dyDescent="0.3">
      <c r="A41" s="13" t="s">
        <v>192</v>
      </c>
      <c r="B41" s="26" t="s">
        <v>236</v>
      </c>
      <c r="C41" s="5" t="s">
        <v>239</v>
      </c>
      <c r="D41" s="26" t="s">
        <v>199</v>
      </c>
      <c r="E41" s="26" t="s">
        <v>107</v>
      </c>
      <c r="F41" s="6">
        <v>1</v>
      </c>
      <c r="G41" s="29" t="s">
        <v>16</v>
      </c>
    </row>
    <row r="42" spans="1:7" ht="29.4" thickBot="1" x14ac:dyDescent="0.35">
      <c r="A42" s="14" t="s">
        <v>240</v>
      </c>
      <c r="B42" s="27" t="s">
        <v>236</v>
      </c>
      <c r="C42" s="7" t="s">
        <v>241</v>
      </c>
      <c r="D42" s="27" t="s">
        <v>158</v>
      </c>
      <c r="E42" s="27" t="s">
        <v>107</v>
      </c>
      <c r="F42" s="10">
        <v>100</v>
      </c>
      <c r="G42" s="30" t="s">
        <v>16</v>
      </c>
    </row>
    <row r="43" spans="1:7" ht="43.2" x14ac:dyDescent="0.3">
      <c r="A43" s="12" t="s">
        <v>242</v>
      </c>
      <c r="B43" s="28" t="s">
        <v>243</v>
      </c>
      <c r="C43" s="8" t="s">
        <v>244</v>
      </c>
      <c r="D43" s="28" t="s">
        <v>245</v>
      </c>
      <c r="E43" s="28" t="s">
        <v>107</v>
      </c>
      <c r="F43" s="9">
        <v>1</v>
      </c>
      <c r="G43" s="31" t="s">
        <v>16</v>
      </c>
    </row>
    <row r="44" spans="1:7" x14ac:dyDescent="0.3">
      <c r="A44" s="13" t="s">
        <v>246</v>
      </c>
      <c r="B44" s="26" t="s">
        <v>243</v>
      </c>
      <c r="C44" s="5" t="s">
        <v>247</v>
      </c>
      <c r="D44" s="26" t="s">
        <v>248</v>
      </c>
      <c r="E44" s="26" t="s">
        <v>107</v>
      </c>
      <c r="F44" s="6">
        <v>100</v>
      </c>
      <c r="G44" s="29" t="s">
        <v>16</v>
      </c>
    </row>
    <row r="45" spans="1:7" ht="58.2" thickBot="1" x14ac:dyDescent="0.35">
      <c r="A45" s="14" t="s">
        <v>179</v>
      </c>
      <c r="B45" s="27" t="s">
        <v>243</v>
      </c>
      <c r="C45" s="7" t="s">
        <v>185</v>
      </c>
      <c r="D45" s="27" t="s">
        <v>182</v>
      </c>
      <c r="E45" s="27" t="s">
        <v>107</v>
      </c>
      <c r="F45" s="10">
        <v>50</v>
      </c>
      <c r="G45" s="30" t="s">
        <v>16</v>
      </c>
    </row>
    <row r="46" spans="1:7" x14ac:dyDescent="0.3">
      <c r="A46" s="12" t="s">
        <v>240</v>
      </c>
      <c r="B46" s="28" t="s">
        <v>249</v>
      </c>
      <c r="C46" s="8" t="s">
        <v>250</v>
      </c>
      <c r="D46" s="28" t="s">
        <v>158</v>
      </c>
      <c r="E46" s="28" t="s">
        <v>107</v>
      </c>
      <c r="F46" s="9">
        <v>100</v>
      </c>
      <c r="G46" s="31" t="s">
        <v>16</v>
      </c>
    </row>
    <row r="47" spans="1:7" x14ac:dyDescent="0.3">
      <c r="A47" s="13" t="s">
        <v>251</v>
      </c>
      <c r="B47" s="26" t="s">
        <v>249</v>
      </c>
      <c r="C47" s="5" t="s">
        <v>252</v>
      </c>
      <c r="D47" s="26" t="s">
        <v>253</v>
      </c>
      <c r="E47" s="26" t="s">
        <v>107</v>
      </c>
      <c r="F47" s="6">
        <v>1</v>
      </c>
      <c r="G47" s="29" t="s">
        <v>16</v>
      </c>
    </row>
    <row r="48" spans="1:7" x14ac:dyDescent="0.3">
      <c r="A48" s="13" t="s">
        <v>254</v>
      </c>
      <c r="B48" s="26" t="s">
        <v>249</v>
      </c>
      <c r="C48" s="5" t="s">
        <v>255</v>
      </c>
      <c r="D48" s="26" t="s">
        <v>256</v>
      </c>
      <c r="E48" s="26" t="s">
        <v>107</v>
      </c>
      <c r="F48" s="6">
        <v>50</v>
      </c>
      <c r="G48" s="29" t="s">
        <v>16</v>
      </c>
    </row>
    <row r="49" spans="1:7" ht="72" x14ac:dyDescent="0.3">
      <c r="A49" s="13" t="s">
        <v>257</v>
      </c>
      <c r="B49" s="26" t="s">
        <v>249</v>
      </c>
      <c r="C49" s="5" t="s">
        <v>258</v>
      </c>
      <c r="D49" s="26" t="s">
        <v>259</v>
      </c>
      <c r="E49" s="26" t="s">
        <v>107</v>
      </c>
      <c r="F49" s="9">
        <v>1</v>
      </c>
      <c r="G49" s="29" t="s">
        <v>16</v>
      </c>
    </row>
    <row r="50" spans="1:7" x14ac:dyDescent="0.3">
      <c r="A50" s="13"/>
      <c r="B50" s="26"/>
      <c r="C50" s="5"/>
      <c r="D50" s="26"/>
      <c r="E50" s="26"/>
      <c r="F50" s="6"/>
      <c r="G50" s="29"/>
    </row>
    <row r="51" spans="1:7" x14ac:dyDescent="0.3">
      <c r="A51" s="13"/>
      <c r="B51" s="26"/>
      <c r="C51" s="5"/>
      <c r="D51" s="26"/>
      <c r="E51" s="26"/>
      <c r="F51" s="6"/>
      <c r="G51" s="29"/>
    </row>
    <row r="52" spans="1:7" x14ac:dyDescent="0.3">
      <c r="A52" s="13"/>
      <c r="B52" s="26"/>
      <c r="C52" s="5"/>
      <c r="D52" s="26"/>
      <c r="E52" s="26"/>
      <c r="F52" s="6"/>
      <c r="G52" s="29"/>
    </row>
    <row r="53" spans="1:7" x14ac:dyDescent="0.3">
      <c r="A53" s="13"/>
      <c r="B53" s="26"/>
      <c r="C53" s="5"/>
      <c r="D53" s="26"/>
      <c r="E53" s="26"/>
      <c r="F53" s="6"/>
      <c r="G53" s="29"/>
    </row>
  </sheetData>
  <dataValidations count="12">
    <dataValidation type="list" allowBlank="1" showInputMessage="1" showErrorMessage="1" sqref="F50:F53" xr:uid="{89D17C56-7FD0-4328-A452-7D2017987027}">
      <formula1>"fs, fel"</formula1>
    </dataValidation>
    <dataValidation type="whole" operator="greaterThan" allowBlank="1" showInputMessage="1" showErrorMessage="1" sqref="F12 F10 F18 F20 F25 F23 F38" xr:uid="{3798FD8E-D43D-4D9F-BE2C-52321394B345}">
      <formula1>0</formula1>
    </dataValidation>
    <dataValidation type="list" allowBlank="1" showInputMessage="1" showErrorMessage="1" sqref="F13:F17 F21 F41 F43" xr:uid="{71E12662-7031-4247-910F-BB7CE1CF6CD0}">
      <formula1>"1, 2"</formula1>
    </dataValidation>
    <dataValidation type="list" allowBlank="1" showInputMessage="1" showErrorMessage="1" sqref="F19 F26 F36 F40 F49 F47" xr:uid="{37FEDC31-329E-44E8-806D-0ED1512CF102}">
      <formula1>"1, 2, 3"</formula1>
    </dataValidation>
    <dataValidation type="whole" allowBlank="1" showInputMessage="1" showErrorMessage="1" sqref="F8" xr:uid="{42D8AC35-50A5-40BC-BBFA-BE08B273A500}">
      <formula1>1</formula1>
      <formula2>20</formula2>
    </dataValidation>
    <dataValidation type="decimal" allowBlank="1" showInputMessage="1" showErrorMessage="1" sqref="F2:F3 F9" xr:uid="{2B8FFCC1-6704-4765-8AD4-006A185633FA}">
      <formula1>0</formula1>
      <formula2>1</formula2>
    </dataValidation>
    <dataValidation type="list" allowBlank="1" showInputMessage="1" showErrorMessage="1" sqref="F4" xr:uid="{3A0BB9DE-DDAB-4BD6-B6E2-43F1FC222D8A}">
      <formula1>"1, 2, 3, 4, 5, 6"</formula1>
    </dataValidation>
    <dataValidation type="whole" allowBlank="1" showInputMessage="1" showErrorMessage="1" sqref="F5:F6" xr:uid="{F4E45863-F6B6-49B0-9AF0-77CB1F5B4777}">
      <formula1>10</formula1>
      <formula2>1000000</formula2>
    </dataValidation>
    <dataValidation type="list" allowBlank="1" showInputMessage="1" showErrorMessage="1" sqref="F7" xr:uid="{6B215F84-9F1B-41AC-8192-16AB63AE3266}">
      <formula1>"0, 1"</formula1>
    </dataValidation>
    <dataValidation type="list" allowBlank="1" showInputMessage="1" showErrorMessage="1" sqref="F22" xr:uid="{47B450A3-D6D0-4908-B7DA-713464E39E93}">
      <formula1>"1, 2, 3, 4"</formula1>
    </dataValidation>
    <dataValidation type="whole" operator="greaterThan" allowBlank="1" showInputMessage="1" showErrorMessage="1" sqref="F24 F29 F32 F34:F35 F37 F39 F44:F46 F42 F48" xr:uid="{4036D9AA-DD26-43F2-86CA-83C98477498F}">
      <formula1>1</formula1>
    </dataValidation>
    <dataValidation type="decimal" operator="greaterThan" allowBlank="1" showInputMessage="1" showErrorMessage="1" sqref="F27:F28 F30:F31 F33" xr:uid="{E87A8820-6156-4E10-8AF9-95041973A5CF}">
      <formula1>0</formula1>
    </dataValidation>
  </dataValidations>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F0A-B85A-4162-A12D-AC7176B54015}">
  <dimension ref="A1:G26"/>
  <sheetViews>
    <sheetView zoomScale="115" zoomScaleNormal="115" workbookViewId="0">
      <selection activeCell="F4" sqref="F4"/>
    </sheetView>
  </sheetViews>
  <sheetFormatPr defaultColWidth="9.109375" defaultRowHeight="14.4" x14ac:dyDescent="0.3"/>
  <cols>
    <col min="1" max="1" width="22.10937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72.599999999999994" thickTop="1" x14ac:dyDescent="0.3">
      <c r="A2" s="13" t="s">
        <v>38</v>
      </c>
      <c r="B2" s="26" t="s">
        <v>63</v>
      </c>
      <c r="C2" s="5" t="s">
        <v>37</v>
      </c>
      <c r="D2" s="26" t="s">
        <v>36</v>
      </c>
      <c r="E2" s="26" t="s">
        <v>47</v>
      </c>
      <c r="F2" s="6">
        <v>1</v>
      </c>
      <c r="G2" s="29" t="s">
        <v>16</v>
      </c>
    </row>
    <row r="3" spans="1:7" ht="72" x14ac:dyDescent="0.3">
      <c r="A3" s="13" t="s">
        <v>39</v>
      </c>
      <c r="B3" s="26" t="s">
        <v>63</v>
      </c>
      <c r="C3" s="5" t="s">
        <v>41</v>
      </c>
      <c r="D3" s="26" t="s">
        <v>42</v>
      </c>
      <c r="E3" s="26" t="s">
        <v>48</v>
      </c>
      <c r="F3" s="6">
        <v>1</v>
      </c>
      <c r="G3" s="29" t="s">
        <v>16</v>
      </c>
    </row>
    <row r="4" spans="1:7" ht="72" x14ac:dyDescent="0.3">
      <c r="A4" s="13" t="s">
        <v>40</v>
      </c>
      <c r="B4" s="26" t="s">
        <v>63</v>
      </c>
      <c r="C4" s="5" t="s">
        <v>41</v>
      </c>
      <c r="D4" s="26" t="s">
        <v>43</v>
      </c>
      <c r="E4" s="26" t="s">
        <v>48</v>
      </c>
      <c r="F4" s="6">
        <v>2</v>
      </c>
      <c r="G4" s="29" t="s">
        <v>16</v>
      </c>
    </row>
    <row r="5" spans="1:7" x14ac:dyDescent="0.3">
      <c r="A5" s="13" t="s">
        <v>44</v>
      </c>
      <c r="B5" s="26" t="s">
        <v>63</v>
      </c>
      <c r="C5" s="5" t="s">
        <v>45</v>
      </c>
      <c r="D5" s="26" t="s">
        <v>65</v>
      </c>
      <c r="E5" s="26" t="s">
        <v>49</v>
      </c>
      <c r="F5" s="43">
        <v>1E-3</v>
      </c>
      <c r="G5" s="29" t="s">
        <v>16</v>
      </c>
    </row>
    <row r="6" spans="1:7" x14ac:dyDescent="0.3">
      <c r="A6" s="38" t="s">
        <v>50</v>
      </c>
      <c r="B6" s="39" t="s">
        <v>63</v>
      </c>
      <c r="C6" s="40" t="s">
        <v>51</v>
      </c>
      <c r="D6" s="39" t="s">
        <v>20</v>
      </c>
      <c r="E6" s="39" t="s">
        <v>49</v>
      </c>
      <c r="F6" s="43">
        <v>9.9999999999999998E-13</v>
      </c>
      <c r="G6" s="41" t="s">
        <v>16</v>
      </c>
    </row>
    <row r="7" spans="1:7" ht="58.2" thickBot="1" x14ac:dyDescent="0.35">
      <c r="A7" s="14" t="s">
        <v>52</v>
      </c>
      <c r="B7" s="27" t="s">
        <v>63</v>
      </c>
      <c r="C7" s="7" t="s">
        <v>53</v>
      </c>
      <c r="D7" s="27" t="s">
        <v>54</v>
      </c>
      <c r="E7" s="27" t="s">
        <v>55</v>
      </c>
      <c r="F7" s="42">
        <v>0.1</v>
      </c>
      <c r="G7" s="30" t="s">
        <v>18</v>
      </c>
    </row>
    <row r="8" spans="1:7" x14ac:dyDescent="0.3">
      <c r="A8" s="12" t="s">
        <v>84</v>
      </c>
      <c r="B8" s="28" t="s">
        <v>23</v>
      </c>
      <c r="C8" s="8" t="s">
        <v>154</v>
      </c>
      <c r="D8" s="28" t="s">
        <v>155</v>
      </c>
      <c r="E8" s="28" t="s">
        <v>55</v>
      </c>
      <c r="F8" s="45">
        <v>3.9300000000000003E-3</v>
      </c>
      <c r="G8" s="31" t="s">
        <v>18</v>
      </c>
    </row>
    <row r="9" spans="1:7" x14ac:dyDescent="0.3">
      <c r="A9" s="13" t="s">
        <v>85</v>
      </c>
      <c r="B9" s="26" t="s">
        <v>23</v>
      </c>
      <c r="C9" s="5" t="s">
        <v>150</v>
      </c>
      <c r="D9" s="26" t="s">
        <v>153</v>
      </c>
      <c r="E9" s="26" t="s">
        <v>49</v>
      </c>
      <c r="F9" s="6">
        <v>0</v>
      </c>
      <c r="G9" s="29" t="s">
        <v>151</v>
      </c>
    </row>
    <row r="10" spans="1:7" x14ac:dyDescent="0.3">
      <c r="A10" s="13" t="s">
        <v>160</v>
      </c>
      <c r="B10" s="26" t="s">
        <v>23</v>
      </c>
      <c r="C10" s="5" t="s">
        <v>161</v>
      </c>
      <c r="D10" s="26" t="s">
        <v>162</v>
      </c>
      <c r="E10" s="26" t="s">
        <v>49</v>
      </c>
      <c r="F10" s="6">
        <v>0</v>
      </c>
      <c r="G10" s="29" t="s">
        <v>151</v>
      </c>
    </row>
    <row r="11" spans="1:7" x14ac:dyDescent="0.3">
      <c r="A11" s="13" t="s">
        <v>86</v>
      </c>
      <c r="B11" s="26" t="s">
        <v>23</v>
      </c>
      <c r="C11" s="5" t="s">
        <v>149</v>
      </c>
      <c r="D11" s="26" t="s">
        <v>152</v>
      </c>
      <c r="E11" s="26" t="s">
        <v>102</v>
      </c>
      <c r="F11" s="11">
        <v>20</v>
      </c>
      <c r="G11" s="29" t="s">
        <v>148</v>
      </c>
    </row>
    <row r="12" spans="1:7" ht="28.8" x14ac:dyDescent="0.3">
      <c r="A12" s="13" t="s">
        <v>87</v>
      </c>
      <c r="B12" s="26" t="s">
        <v>23</v>
      </c>
      <c r="C12" s="5" t="s">
        <v>144</v>
      </c>
      <c r="D12" s="26" t="s">
        <v>147</v>
      </c>
      <c r="E12" s="26" t="s">
        <v>48</v>
      </c>
      <c r="F12" s="6">
        <v>0</v>
      </c>
      <c r="G12" s="29" t="s">
        <v>16</v>
      </c>
    </row>
    <row r="13" spans="1:7" ht="29.4" thickBot="1" x14ac:dyDescent="0.35">
      <c r="A13" s="14" t="s">
        <v>88</v>
      </c>
      <c r="B13" s="27" t="s">
        <v>23</v>
      </c>
      <c r="C13" s="7" t="s">
        <v>145</v>
      </c>
      <c r="D13" s="27" t="s">
        <v>146</v>
      </c>
      <c r="E13" s="27" t="s">
        <v>48</v>
      </c>
      <c r="F13" s="10">
        <v>0</v>
      </c>
      <c r="G13" s="30" t="s">
        <v>16</v>
      </c>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sheetData>
  <dataValidations count="6">
    <dataValidation type="list" allowBlank="1" showInputMessage="1" showErrorMessage="1" sqref="F2:F4" xr:uid="{697C1F42-E75F-4B7B-8981-25DC1390010D}">
      <formula1>"1, 2, 3, 4"</formula1>
    </dataValidation>
    <dataValidation type="decimal" operator="greaterThan" allowBlank="1" showInputMessage="1" showErrorMessage="1" sqref="F5:F6" xr:uid="{E37BC251-E8D8-40F6-9FAF-822D8D9984D3}">
      <formula1>0</formula1>
    </dataValidation>
    <dataValidation type="decimal" allowBlank="1" showInputMessage="1" showErrorMessage="1" sqref="F7:F8" xr:uid="{A51E82E7-1822-482E-8232-D090CCE8FF42}">
      <formula1>0</formula1>
      <formula2>1</formula2>
    </dataValidation>
    <dataValidation type="list" allowBlank="1" showInputMessage="1" showErrorMessage="1" sqref="F12:F13" xr:uid="{BEBAF08F-EDA5-4C4D-BDED-841DA49ED29D}">
      <formula1>"0, 1"</formula1>
    </dataValidation>
    <dataValidation type="decimal" operator="greaterThanOrEqual" allowBlank="1" showInputMessage="1" showErrorMessage="1" sqref="F9:F10" xr:uid="{A50DEA59-3116-48A6-9A6B-FEC85B06DD9A}">
      <formula1>0</formula1>
    </dataValidation>
    <dataValidation type="list" allowBlank="1" showInputMessage="1" showErrorMessage="1" sqref="F14:F26" xr:uid="{C68A9EBE-58BC-4060-95BF-8B9C15EAA08F}">
      <formula1>"fs, fel"</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Exp</vt:lpstr>
      <vt:lpstr>Dat</vt:lpstr>
      <vt:lpstr>Mdl</vt:lpstr>
      <vt:lpstr>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Schirmer</dc:creator>
  <cp:lastModifiedBy>Pascal Schirmer</cp:lastModifiedBy>
  <dcterms:created xsi:type="dcterms:W3CDTF">2022-10-27T16:38:41Z</dcterms:created>
  <dcterms:modified xsi:type="dcterms:W3CDTF">2025-05-17T07:28:09Z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2024-10-14T04:55:28Z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7f46891f-6ad4-41f1-90f7-e63021116d61</vt:lpwstr>
  </property>
  <property fmtid="{D5CDD505-2E9C-101B-9397-08002B2CF9AE}" pid="8" name="MSIP_Label_e6935750-240b-48e4-a615-66942a738439_ContentBits">
    <vt:lpwstr>2</vt:lpwstr>
  </property>
</Properties>
</file>