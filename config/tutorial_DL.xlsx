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schir\OneDrive\Studium\34_Github\TherMOS\config\"/>
    </mc:Choice>
  </mc:AlternateContent>
  <xr:revisionPtr revIDLastSave="0" documentId="13_ncr:1_{12F8622A-8E0E-411A-9373-B5C51A9DF58C}" xr6:coauthVersionLast="47" xr6:coauthVersionMax="47" xr10:uidLastSave="{00000000-0000-0000-0000-000000000000}"/>
  <bookViews>
    <workbookView xWindow="-18120" yWindow="-2550" windowWidth="18240" windowHeight="28440" activeTab="1" xr2:uid="{DB7D2548-4471-4992-93B1-3EC0BA66F7EA}"/>
  </bookViews>
  <sheets>
    <sheet name="readme" sheetId="2" r:id="rId1"/>
    <sheet name="Exp" sheetId="4" r:id="rId2"/>
    <sheet name="Dat" sheetId="9" r:id="rId3"/>
    <sheet name="Mdl" sheetId="10" r:id="rId4"/>
    <sheet name="Par" sheetId="11"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<sst xmlns="http://schemas.openxmlformats.org/spreadsheetml/2006/main" count="508" uniqueCount="260">
  <si>
    <t>#</t>
  </si>
  <si>
    <t>Name</t>
  </si>
  <si>
    <t>Unit</t>
  </si>
  <si>
    <t>Variable</t>
  </si>
  <si>
    <t>Date</t>
  </si>
  <si>
    <t>Author</t>
  </si>
  <si>
    <t>Version</t>
  </si>
  <si>
    <t>File</t>
  </si>
  <si>
    <t>Dr. Pascal A. Schirmer</t>
  </si>
  <si>
    <t>v.0.0</t>
  </si>
  <si>
    <t>Changes</t>
  </si>
  <si>
    <t>Editor</t>
  </si>
  <si>
    <t>Lead</t>
  </si>
  <si>
    <t>Pascal Schirmer</t>
  </si>
  <si>
    <t>Description</t>
  </si>
  <si>
    <t>Value</t>
  </si>
  <si>
    <t>-</t>
  </si>
  <si>
    <t>Category</t>
  </si>
  <si>
    <t>%</t>
  </si>
  <si>
    <t>Initial implementation of the config template</t>
  </si>
  <si>
    <t>eps</t>
  </si>
  <si>
    <t>sec</t>
  </si>
  <si>
    <t>samp</t>
  </si>
  <si>
    <t>loss</t>
  </si>
  <si>
    <t>Legend</t>
  </si>
  <si>
    <t>Color-Code</t>
  </si>
  <si>
    <t>Meaning</t>
  </si>
  <si>
    <t>Change</t>
  </si>
  <si>
    <t>Headings</t>
  </si>
  <si>
    <t>No</t>
  </si>
  <si>
    <t>Information (can be changed for personal notes and markup)</t>
  </si>
  <si>
    <t>Yes</t>
  </si>
  <si>
    <t>Input values</t>
  </si>
  <si>
    <t>Variable names read by toolkit</t>
  </si>
  <si>
    <t>13.08.2024</t>
  </si>
  <si>
    <t>templateConfig</t>
  </si>
  <si>
    <t>inter</t>
  </si>
  <si>
    <t>Method used for interpolating data samples:
1) nearest
2) linear
3) spline
4) makima</t>
  </si>
  <si>
    <t>Data Interpolation</t>
  </si>
  <si>
    <t>Data Normalisation X</t>
  </si>
  <si>
    <t>Data Normalisation y</t>
  </si>
  <si>
    <t>Normalisation of the input data:
1) None
2) 0-1
3) Min-Max
4) Mean-Std</t>
  </si>
  <si>
    <t>normX</t>
  </si>
  <si>
    <t>normY</t>
  </si>
  <si>
    <t>Convergence Error</t>
  </si>
  <si>
    <t>Limit for convergence of numerical optimisations</t>
  </si>
  <si>
    <t>Type</t>
  </si>
  <si>
    <t>string</t>
  </si>
  <si>
    <t>integer</t>
  </si>
  <si>
    <t>float+</t>
  </si>
  <si>
    <t>Numerical Toleranz</t>
  </si>
  <si>
    <t>Lower numerical limit</t>
  </si>
  <si>
    <t>Transient Threshold</t>
  </si>
  <si>
    <t xml:space="preserve">Threshold value to separate transient from steady state behavior. If the rate of change is smaller than the threshold (as percent of the maximum rate of change) the signal is assumed to be stationary. </t>
  </si>
  <si>
    <t>th</t>
  </si>
  <si>
    <t>percent</t>
  </si>
  <si>
    <t>Numerical Error Bound</t>
  </si>
  <si>
    <t>Numerical Limit</t>
  </si>
  <si>
    <t>PDE Solver</t>
  </si>
  <si>
    <t>Number Substeps</t>
  </si>
  <si>
    <t>nSub</t>
  </si>
  <si>
    <t>sol</t>
  </si>
  <si>
    <t>sel</t>
  </si>
  <si>
    <t>gen</t>
  </si>
  <si>
    <t>rc</t>
  </si>
  <si>
    <t>err</t>
  </si>
  <si>
    <t>Lower Bound</t>
  </si>
  <si>
    <t>bc</t>
  </si>
  <si>
    <t>Limits the Parameter (Rth, Cth) to be larger than the defined boundary</t>
  </si>
  <si>
    <t>K/W, Ws/K</t>
  </si>
  <si>
    <t>Number of RC pairs used in the Foster model</t>
  </si>
  <si>
    <t>Model Order SS</t>
  </si>
  <si>
    <t>Model Order RC</t>
  </si>
  <si>
    <t>Discretisation SS</t>
  </si>
  <si>
    <t>Noise Modeling</t>
  </si>
  <si>
    <t>Solver</t>
  </si>
  <si>
    <t>Solver Init</t>
  </si>
  <si>
    <t>ss</t>
  </si>
  <si>
    <t>init</t>
  </si>
  <si>
    <t>Model Order POD</t>
  </si>
  <si>
    <t>Mode Selection</t>
  </si>
  <si>
    <t>Maximum Number Modes</t>
  </si>
  <si>
    <t>Energy Captured</t>
  </si>
  <si>
    <t>pod</t>
  </si>
  <si>
    <t>Slope Spezific Resistance</t>
  </si>
  <si>
    <t>Contact Resistance</t>
  </si>
  <si>
    <t>Reference Temperature</t>
  </si>
  <si>
    <t>Forward Losses</t>
  </si>
  <si>
    <t>Backward Losses</t>
  </si>
  <si>
    <t>Initialise Zero</t>
  </si>
  <si>
    <t>Sampling Method</t>
  </si>
  <si>
    <t>Sampling Period</t>
  </si>
  <si>
    <t>Pre-Padding</t>
  </si>
  <si>
    <t>Data Reduction</t>
  </si>
  <si>
    <t>2D Plane</t>
  </si>
  <si>
    <t>This is the used dimension of the toolkit:
1) 1-dimensional
2) 2-dimensional</t>
  </si>
  <si>
    <t>If the model is reduced from 3D to 2D this is the axis at which the 2D plane will be cut:
1) x-Axis (yz-Plane)
2) y-Axis (xz-Plane)
3) z-Axis (xy-Plane)</t>
  </si>
  <si>
    <t>Cutting Position</t>
  </si>
  <si>
    <t>If the model is reduced from 3D to 2D this is the position where the axis will be cut and the 2D plane will be extracted.</t>
  </si>
  <si>
    <t>dOut</t>
  </si>
  <si>
    <t>cut</t>
  </si>
  <si>
    <t>cutVal</t>
  </si>
  <si>
    <t>float</t>
  </si>
  <si>
    <t>m</t>
  </si>
  <si>
    <t>Method for resampling time and spatial data:
1) Zero Order Hold (ZOH)
2) Linear Interpolated (LIN)
3) Spline Interpolation</t>
  </si>
  <si>
    <t>Target sampling period for the internal data usage</t>
  </si>
  <si>
    <t>Number of zero samples that are pre-padded to the input and output.</t>
  </si>
  <si>
    <t>integer+</t>
  </si>
  <si>
    <t>How the initial conditions of the output y are treated:
1) Unchanged
2) Set to zero
3) Remove reference value</t>
  </si>
  <si>
    <t>Input 1D X</t>
  </si>
  <si>
    <t>Input 1D Y</t>
  </si>
  <si>
    <t>Input 1D Z</t>
  </si>
  <si>
    <t>Output 1D X</t>
  </si>
  <si>
    <t>Output 1D Y</t>
  </si>
  <si>
    <t>Output 1D Z</t>
  </si>
  <si>
    <t>inpX</t>
  </si>
  <si>
    <t>inpY</t>
  </si>
  <si>
    <t>inpZ</t>
  </si>
  <si>
    <t>outX</t>
  </si>
  <si>
    <t>outY</t>
  </si>
  <si>
    <t>outZ</t>
  </si>
  <si>
    <t>If the model is reduced to 1D this is the used x position for the input data.</t>
  </si>
  <si>
    <t>If the model is reduced to 1D this is the used y position for the input data.</t>
  </si>
  <si>
    <t>If the model is reduced to 1D this is the used z position for the input data.</t>
  </si>
  <si>
    <t>Ts</t>
  </si>
  <si>
    <t>pad</t>
  </si>
  <si>
    <t>Model order of the SS system, i.e. matrix size</t>
  </si>
  <si>
    <t>K</t>
  </si>
  <si>
    <t>Modeling approach for the SS system:
1) Discrete using Ts as sample time
2) Continuous</t>
  </si>
  <si>
    <t>dis</t>
  </si>
  <si>
    <t>Noise modeling including K matrix in the feedback loop:
1) Noise modeling inactive
2) Noise modeling active</t>
  </si>
  <si>
    <t>noise</t>
  </si>
  <si>
    <t>Solver used to estimate the output of a given state space system:
1) Linear solver (lsim)
2) Matlab estimate</t>
  </si>
  <si>
    <t>Initial conditions for the solver:
1) Zero
2) Estimated</t>
  </si>
  <si>
    <t>sta</t>
  </si>
  <si>
    <t>Method for selecting the number of modes:
1) Fixed number of modes K
2) Minimum energy captured
3) Optimal</t>
  </si>
  <si>
    <t>Constraint for automatically chosing the number of modes.</t>
  </si>
  <si>
    <t>Percentag of energy captured through POD modes</t>
  </si>
  <si>
    <t>Number of POD modes.</t>
  </si>
  <si>
    <t>Lower numerical boundary</t>
  </si>
  <si>
    <t>1) Stability not constraint
2) Stability enforced</t>
  </si>
  <si>
    <t>Numerical error boundary used for convergence</t>
  </si>
  <si>
    <t>PDE solver:
1) ode45 (non-stiff)
2) ode15 (stiff)
3) rk6
4) euf (euler forward)
5) eub (euler backward)
6) tra (trapazoidal rule)</t>
  </si>
  <si>
    <t>Number of substeps per solver iteration</t>
  </si>
  <si>
    <t>0) not correcting losses during training
1) correcting losses during training</t>
  </si>
  <si>
    <t>0) not correcting losses during testing
1) correcting losses during testing</t>
  </si>
  <si>
    <t>bw</t>
  </si>
  <si>
    <t>fw</t>
  </si>
  <si>
    <t>°C</t>
  </si>
  <si>
    <t>Reference temperature for loss calculation</t>
  </si>
  <si>
    <t>Temperature independent contact resistance</t>
  </si>
  <si>
    <t>Ohm</t>
  </si>
  <si>
    <t>Tref</t>
  </si>
  <si>
    <t>Rcon</t>
  </si>
  <si>
    <t>Resistance change per 1 K temperature increase</t>
  </si>
  <si>
    <t>Rslope</t>
  </si>
  <si>
    <t>Maximum Iteration</t>
  </si>
  <si>
    <t>Maximum number of iterations for solvers</t>
  </si>
  <si>
    <t>iterMax</t>
  </si>
  <si>
    <t>Kmax</t>
  </si>
  <si>
    <t>Conduction Resistance</t>
  </si>
  <si>
    <t>Temperature dependent coduction resistance</t>
  </si>
  <si>
    <t>Rohm</t>
  </si>
  <si>
    <t>Spatial Sampling X</t>
  </si>
  <si>
    <t>Spatial Sampling Y</t>
  </si>
  <si>
    <t>Spatial sampling in the first dimension x</t>
  </si>
  <si>
    <t>dx</t>
  </si>
  <si>
    <t>dy</t>
  </si>
  <si>
    <t>Stability</t>
  </si>
  <si>
    <t>Model Order KNN</t>
  </si>
  <si>
    <t>knn</t>
  </si>
  <si>
    <t>Number of neighbors for KNN</t>
  </si>
  <si>
    <t>NSMethod</t>
  </si>
  <si>
    <t>Distance Metric</t>
  </si>
  <si>
    <t>Distance metric used for computing the distance of a new sample with respect to the KNN space:
1) 'cityblock', 
2) 'chebychev', 
3) 'euclidean', 
4) 'minkowski'</t>
  </si>
  <si>
    <t>dist</t>
  </si>
  <si>
    <t>ns</t>
  </si>
  <si>
    <t>Neighbor-searcher method:
1) 'exhaustive'
2) 'kdtree'</t>
  </si>
  <si>
    <t>MinLeafSize</t>
  </si>
  <si>
    <t>MaxNumSplits</t>
  </si>
  <si>
    <t>MinParentSize</t>
  </si>
  <si>
    <t>leaf</t>
  </si>
  <si>
    <t>split</t>
  </si>
  <si>
    <t>parent</t>
  </si>
  <si>
    <t>dt</t>
  </si>
  <si>
    <t>Limits the maximum number of splits in the tree. This parameter directly controls the depth and complexity of the tree. Lower values reduce the tree size, potentially preventing overfitting</t>
  </si>
  <si>
    <t>Specifies the minimum number of observations per leaf. Increasing MinLeafSize can reduce overfitting by preventing the tree from growing too deep</t>
  </si>
  <si>
    <t>Sets the minimum number of observations in a node for it to be split. Larger values create simpler trees, as nodes with fewer observations are left unsplit.</t>
  </si>
  <si>
    <t>Optimize Free Parameters</t>
  </si>
  <si>
    <t>Automated optimisation of free model parameters:
0) fixed parameters
1) optimal parameters</t>
  </si>
  <si>
    <t>opt</t>
  </si>
  <si>
    <t>svm</t>
  </si>
  <si>
    <t>KernelFunction</t>
  </si>
  <si>
    <t>BoxConstraint</t>
  </si>
  <si>
    <t>Epsilon</t>
  </si>
  <si>
    <t>Sets the regularization parameter (C) that controls the trade-off between achieving a low training error and a low testing error (generalization). Higher values lead to fewer support vectors but may overfit.</t>
  </si>
  <si>
    <t>Specifies the epsilon margin in the loss function, which defines a tube within which no penalty is associated with errors.</t>
  </si>
  <si>
    <t>C</t>
  </si>
  <si>
    <t>Specifies the kernel function to use:
1) linear
2) polynomial
3) rbf</t>
  </si>
  <si>
    <t>kernel</t>
  </si>
  <si>
    <t>MaxEpochs</t>
  </si>
  <si>
    <t>GradientThreshold</t>
  </si>
  <si>
    <t>InitialLearnRate</t>
  </si>
  <si>
    <t>LearnRateDropPeriod</t>
  </si>
  <si>
    <t>LearnRateDropFactor</t>
  </si>
  <si>
    <t>ValidationFrequency</t>
  </si>
  <si>
    <t>dl</t>
  </si>
  <si>
    <t>MiniBatchSize</t>
  </si>
  <si>
    <t>Shuffle</t>
  </si>
  <si>
    <t>ValidationPatience</t>
  </si>
  <si>
    <t>Specifies the maximum number of passes through the entire training dataset. Higher values can lead to better training but also increase the risk of overfitting.</t>
  </si>
  <si>
    <t>Specifies the threshold for gradient clipping to prevent the gradients from exploding. It's useful when training deep networks.</t>
  </si>
  <si>
    <t>epoch</t>
  </si>
  <si>
    <t>gradTh</t>
  </si>
  <si>
    <t>initLr</t>
  </si>
  <si>
    <t>The initial step size for updating the weights. A higher value may speed up learning but can cause instability, while a lower value ensures stable convergence.</t>
  </si>
  <si>
    <t>Specifies the number of epochs between reductions of the learning rate when using the 'piecewise' schedule.</t>
  </si>
  <si>
    <t>Specifies the factor by which the learning rate is reduced. For example, a value of 0.2 means the learning rate is multiplied by 0.2 (i.e., reduced by 80%).</t>
  </si>
  <si>
    <t>lrDropPr</t>
  </si>
  <si>
    <t>lrDropFa</t>
  </si>
  <si>
    <t>Specifies the frequency (in iterations) at which the validation performance is computed. This helps in early stopping and monitoring the progress.</t>
  </si>
  <si>
    <t>valFreq</t>
  </si>
  <si>
    <t>Specifies the number of observations to use in each mini-batch. Smaller sizes can reduce memory usage and allow for more frequent updates.</t>
  </si>
  <si>
    <t>batch</t>
  </si>
  <si>
    <t>Specifies how to shuffle the data before each epoch. Options include 'never', 'once', and 'every-epoch':
1) never
2) once
3) every-epoch</t>
  </si>
  <si>
    <t>shu</t>
  </si>
  <si>
    <t>Specifies the number of epochs with no improvement on the validation data before training is stopped.</t>
  </si>
  <si>
    <t>valPat</t>
  </si>
  <si>
    <t>Window Length</t>
  </si>
  <si>
    <t>Window Strides</t>
  </si>
  <si>
    <t>Length of the input window for sequence to point learning. The input dimension of the model is (FxWxNt) where F are the features, W is the window, and Nt are the number of samples.</t>
  </si>
  <si>
    <t>W</t>
  </si>
  <si>
    <t>stride</t>
  </si>
  <si>
    <t>Emax</t>
  </si>
  <si>
    <t>BasisFunction</t>
  </si>
  <si>
    <t>gpr</t>
  </si>
  <si>
    <t>Explicit basis in the GPR model:
1) Constant
2) Linear
3) Quadratic</t>
  </si>
  <si>
    <t>basis</t>
  </si>
  <si>
    <t>Form of the covariance function, specified as one of the following:
1) Exponential
2) Squareexponential</t>
  </si>
  <si>
    <t>IterationLimit</t>
  </si>
  <si>
    <t>Maximum number of block coordinate descent method ("bcd") iterations.</t>
  </si>
  <si>
    <t>Method</t>
  </si>
  <si>
    <t>en</t>
  </si>
  <si>
    <t>Ensemble aggregation method:
1) LSBoost
2) Bag</t>
  </si>
  <si>
    <t>method</t>
  </si>
  <si>
    <t>LearningCycles</t>
  </si>
  <si>
    <t>Number of ensemble learning cycles</t>
  </si>
  <si>
    <t>cycle</t>
  </si>
  <si>
    <t>nn</t>
  </si>
  <si>
    <t>Maximum number of training iterations</t>
  </si>
  <si>
    <t>NumberLayers</t>
  </si>
  <si>
    <t>Number of fully connected layers in the network.</t>
  </si>
  <si>
    <t>layer</t>
  </si>
  <si>
    <t>NumberNeurons</t>
  </si>
  <si>
    <t>Number of nodes per fully connected layer.</t>
  </si>
  <si>
    <t>nodes</t>
  </si>
  <si>
    <t>Activation</t>
  </si>
  <si>
    <t>Activation functions for the fully connected layers of the neural network model:
1) relu
2) tanh
3) sigmoid</t>
  </si>
  <si>
    <t>act</t>
  </si>
  <si>
    <t>The strides describe the overlab from one window to the next window.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</si>
</sst>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9">
    <fill>
      <patternFill patternType="none"/>
    </fill>
    <fill>
      <patternFill patternType="gray125"/>
    </fill>
    <fill>
      <patternFill patternType="solid">
        <fgColor theme="4" tint="0.39997558519241921"/>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5" tint="0.39997558519241921"/>
        <bgColor indexed="64"/>
      </patternFill>
    </fill>
  </fills>
  <borders count="30">
    <border>
      <left/>
      <right/>
      <top/>
      <bottom/>
      <diagonal/>
    </border>
    <border>
      <left/>
      <right/>
      <top/>
      <bottom style="double">
        <color indexed="64"/>
      </bottom>
      <diagonal/>
    </border>
    <border>
      <left/>
      <right style="thin">
        <color indexed="64"/>
      </right>
      <top/>
      <bottom/>
      <diagonal/>
    </border>
    <border>
      <left/>
      <right style="thin">
        <color indexed="64"/>
      </right>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s>
  <cellStyleXfs count="1">
    <xf numFmtId="0" fontId="0" fillId="0" borderId="0"/>
  </cellStyleXfs>
  <cellXfs count="53">
    <xf numFmtId="0" fontId="0" fillId="0" borderId="0" xfId="0"/>
    <xf numFmtId="0" fontId="1" fillId="0" borderId="1" xfId="0" applyFont="1" applyBorder="1"/>
    <xf numFmtId="0" fontId="1" fillId="0" borderId="3" xfId="0" applyFont="1" applyBorder="1"/>
    <xf numFmtId="0" fontId="0" fillId="0" borderId="2" xfId="0" applyBorder="1"/>
    <xf numFmtId="0" fontId="1" fillId="0" borderId="0" xfId="0" applyFont="1"/>
    <xf numFmtId="0" fontId="0" fillId="3" borderId="4" xfId="0" applyFill="1" applyBorder="1" applyAlignment="1">
      <alignment wrapText="1"/>
    </xf>
    <xf numFmtId="0" fontId="0" fillId="4" borderId="4" xfId="0" applyFill="1" applyBorder="1" applyAlignment="1">
      <alignment horizontal="center" vertical="center"/>
    </xf>
    <xf numFmtId="0" fontId="0" fillId="3" borderId="8" xfId="0" applyFill="1" applyBorder="1" applyAlignment="1">
      <alignment wrapText="1"/>
    </xf>
    <xf numFmtId="0" fontId="0" fillId="3" borderId="11" xfId="0" applyFill="1" applyBorder="1" applyAlignment="1">
      <alignment wrapText="1"/>
    </xf>
    <xf numFmtId="0" fontId="0" fillId="4" borderId="11" xfId="0" applyFill="1" applyBorder="1" applyAlignment="1">
      <alignment horizontal="center" vertical="center"/>
    </xf>
    <xf numFmtId="0" fontId="0" fillId="4" borderId="8" xfId="0" applyFill="1" applyBorder="1" applyAlignment="1">
      <alignment horizontal="center" vertical="center"/>
    </xf>
    <xf numFmtId="2" fontId="0" fillId="4" borderId="4" xfId="0" applyNumberFormat="1" applyFill="1" applyBorder="1" applyAlignment="1">
      <alignment horizontal="center" vertical="center"/>
    </xf>
    <xf numFmtId="0" fontId="0" fillId="3" borderId="10" xfId="0" applyFill="1" applyBorder="1" applyAlignment="1">
      <alignment horizontal="left" vertical="center"/>
    </xf>
    <xf numFmtId="0" fontId="0" fillId="3" borderId="5" xfId="0" applyFill="1" applyBorder="1" applyAlignment="1">
      <alignment horizontal="left" vertical="center"/>
    </xf>
    <xf numFmtId="0" fontId="0" fillId="3" borderId="7" xfId="0" applyFill="1" applyBorder="1" applyAlignment="1">
      <alignment horizontal="left" vertical="center"/>
    </xf>
    <xf numFmtId="0" fontId="1" fillId="0" borderId="20" xfId="0" applyFont="1" applyBorder="1"/>
    <xf numFmtId="0" fontId="1" fillId="0" borderId="21" xfId="0" applyFont="1" applyBorder="1"/>
    <xf numFmtId="0" fontId="1" fillId="0" borderId="22" xfId="0" applyFont="1" applyBorder="1"/>
    <xf numFmtId="0" fontId="0" fillId="5" borderId="23" xfId="0" applyFill="1" applyBorder="1"/>
    <xf numFmtId="0" fontId="0" fillId="0" borderId="24" xfId="0" applyBorder="1"/>
    <xf numFmtId="0" fontId="0" fillId="6" borderId="23" xfId="0" applyFill="1" applyBorder="1"/>
    <xf numFmtId="0" fontId="0" fillId="7" borderId="23" xfId="0" applyFill="1" applyBorder="1"/>
    <xf numFmtId="0" fontId="0" fillId="8" borderId="20" xfId="0" applyFill="1" applyBorder="1"/>
    <xf numFmtId="0" fontId="0" fillId="0" borderId="21" xfId="0" applyBorder="1"/>
    <xf numFmtId="0" fontId="0" fillId="0" borderId="22" xfId="0" applyBorder="1"/>
    <xf numFmtId="0" fontId="0" fillId="8" borderId="4" xfId="0" applyFill="1" applyBorder="1"/>
    <xf numFmtId="0" fontId="0" fillId="8" borderId="4" xfId="0" applyFill="1" applyBorder="1" applyAlignment="1">
      <alignment horizontal="center" vertical="center"/>
    </xf>
    <xf numFmtId="0" fontId="0" fillId="8" borderId="8" xfId="0" applyFill="1" applyBorder="1" applyAlignment="1">
      <alignment horizontal="center" vertical="center"/>
    </xf>
    <xf numFmtId="0" fontId="0" fillId="8" borderId="11" xfId="0" applyFill="1" applyBorder="1" applyAlignment="1">
      <alignment horizontal="center" vertical="center"/>
    </xf>
    <xf numFmtId="0" fontId="0" fillId="8" borderId="6" xfId="0" applyFill="1" applyBorder="1" applyAlignment="1">
      <alignment horizontal="center" vertical="center"/>
    </xf>
    <xf numFmtId="0" fontId="0" fillId="8" borderId="9" xfId="0" applyFill="1" applyBorder="1" applyAlignment="1">
      <alignment horizontal="center" vertical="center"/>
    </xf>
    <xf numFmtId="0" fontId="0" fillId="8" borderId="12" xfId="0" applyFill="1" applyBorder="1" applyAlignment="1">
      <alignment horizontal="center" vertical="center"/>
    </xf>
    <xf numFmtId="0" fontId="1" fillId="2" borderId="13" xfId="0" applyFont="1" applyFill="1" applyBorder="1" applyAlignment="1">
      <alignment horizontal="center"/>
    </xf>
    <xf numFmtId="0" fontId="1" fillId="2" borderId="14" xfId="0" applyFont="1" applyFill="1" applyBorder="1" applyAlignment="1">
      <alignment horizontal="center"/>
    </xf>
    <xf numFmtId="0" fontId="1" fillId="2" borderId="15" xfId="0" applyFont="1" applyFill="1" applyBorder="1" applyAlignment="1">
      <alignment horizontal="center"/>
    </xf>
    <xf numFmtId="0" fontId="1" fillId="2" borderId="16" xfId="0" applyFont="1" applyFill="1" applyBorder="1" applyAlignment="1">
      <alignment horizontal="center"/>
    </xf>
    <xf numFmtId="0" fontId="1" fillId="2" borderId="14" xfId="0" applyFont="1" applyFill="1" applyBorder="1" applyAlignment="1">
      <alignment horizontal="center" vertical="center"/>
    </xf>
    <xf numFmtId="0" fontId="0" fillId="0" borderId="0" xfId="0" applyAlignment="1">
      <alignment horizontal="center" vertical="center"/>
    </xf>
    <xf numFmtId="0" fontId="0" fillId="3" borderId="25" xfId="0" applyFill="1" applyBorder="1" applyAlignment="1">
      <alignment horizontal="left" vertical="center"/>
    </xf>
    <xf numFmtId="0" fontId="0" fillId="8" borderId="26" xfId="0" applyFill="1" applyBorder="1" applyAlignment="1">
      <alignment horizontal="center" vertical="center"/>
    </xf>
    <xf numFmtId="0" fontId="0" fillId="3" borderId="26" xfId="0" applyFill="1" applyBorder="1" applyAlignment="1">
      <alignment wrapText="1"/>
    </xf>
    <xf numFmtId="0" fontId="0" fillId="8" borderId="27" xfId="0" applyFill="1" applyBorder="1" applyAlignment="1">
      <alignment horizontal="center" vertical="center"/>
    </xf>
    <xf numFmtId="10" fontId="0" fillId="4" borderId="8" xfId="0" applyNumberFormat="1" applyFill="1" applyBorder="1" applyAlignment="1">
      <alignment horizontal="center" vertical="center"/>
    </xf>
    <xf numFmtId="11" fontId="0" fillId="4" borderId="4" xfId="0" applyNumberFormat="1" applyFill="1" applyBorder="1" applyAlignment="1">
      <alignment horizontal="center" vertical="center"/>
    </xf>
    <xf numFmtId="11" fontId="0" fillId="4" borderId="11" xfId="0" applyNumberFormat="1" applyFill="1" applyBorder="1" applyAlignment="1">
      <alignment horizontal="center" vertical="center"/>
    </xf>
    <xf numFmtId="10" fontId="0" fillId="4" borderId="11" xfId="0" applyNumberFormat="1" applyFill="1" applyBorder="1" applyAlignment="1">
      <alignment horizontal="center" vertical="center"/>
    </xf>
    <xf numFmtId="0" fontId="0" fillId="3" borderId="4" xfId="0" applyFill="1" applyBorder="1" applyAlignment="1">
      <alignment vertical="top" wrapText="1"/>
    </xf>
    <xf numFmtId="0" fontId="0" fillId="4" borderId="26" xfId="0" applyFill="1" applyBorder="1" applyAlignment="1">
      <alignment horizontal="center" vertical="center"/>
    </xf>
    <xf numFmtId="0" fontId="0" fillId="4" borderId="29" xfId="0" applyFill="1" applyBorder="1" applyAlignment="1">
      <alignment horizontal="center" vertical="center"/>
    </xf>
    <xf numFmtId="0" fontId="0" fillId="8" borderId="28" xfId="0" applyFill="1" applyBorder="1" applyAlignment="1">
      <alignment horizontal="center" vertical="center"/>
    </xf>
    <xf numFmtId="0" fontId="1" fillId="0" borderId="17" xfId="0" applyFont="1" applyBorder="1" applyAlignment="1">
      <alignment horizontal="center"/>
    </xf>
    <xf numFmtId="0" fontId="1" fillId="0" borderId="18" xfId="0" applyFont="1" applyBorder="1" applyAlignment="1">
      <alignment horizontal="center"/>
    </xf>
    <xf numFmtId="0" fontId="1" fillId="0" borderId="19"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55AC4-52E1-45C0-83AC-CC64B56C05A9}">
  <dimension ref="A1:L18"/>
  <sheetViews>
    <sheetView workbookViewId="0">
      <selection activeCell="H31" sqref="H31"/>
    </sheetView>
  </sheetViews>
  <sheetFormatPr defaultColWidth="9.109375" defaultRowHeight="14.4" x14ac:dyDescent="0.3"/>
  <cols>
    <col min="2" max="2" width="18.88671875" bestFit="1" customWidth="1"/>
    <col min="3" max="3" width="10.109375" bestFit="1" customWidth="1"/>
    <col min="4" max="4" width="45.6640625" customWidth="1"/>
    <col min="5" max="6" width="13.6640625" bestFit="1" customWidth="1"/>
    <col min="10" max="10" width="10.44140625" bestFit="1" customWidth="1"/>
    <col min="11" max="11" width="51.33203125" bestFit="1" customWidth="1"/>
  </cols>
  <sheetData>
    <row r="1" spans="1:12" x14ac:dyDescent="0.3">
      <c r="A1" s="4" t="s">
        <v>4</v>
      </c>
      <c r="B1" t="s">
        <v>34</v>
      </c>
    </row>
    <row r="2" spans="1:12" x14ac:dyDescent="0.3">
      <c r="A2" s="4" t="s">
        <v>5</v>
      </c>
      <c r="B2" t="s">
        <v>8</v>
      </c>
    </row>
    <row r="3" spans="1:12" x14ac:dyDescent="0.3">
      <c r="A3" s="4" t="s">
        <v>6</v>
      </c>
      <c r="B3" t="s">
        <v>9</v>
      </c>
    </row>
    <row r="4" spans="1:12" x14ac:dyDescent="0.3">
      <c r="A4" s="4" t="s">
        <v>7</v>
      </c>
      <c r="B4" t="s">
        <v>35</v>
      </c>
    </row>
    <row r="12" spans="1:12" ht="15" thickBot="1" x14ac:dyDescent="0.35"/>
    <row r="13" spans="1:12" ht="15" thickBot="1" x14ac:dyDescent="0.35">
      <c r="A13" s="2" t="s">
        <v>0</v>
      </c>
      <c r="B13" s="1" t="s">
        <v>6</v>
      </c>
      <c r="C13" s="1" t="s">
        <v>4</v>
      </c>
      <c r="D13" s="1" t="s">
        <v>10</v>
      </c>
      <c r="E13" s="1" t="s">
        <v>11</v>
      </c>
      <c r="F13" s="1" t="s">
        <v>12</v>
      </c>
      <c r="J13" s="50" t="s">
        <v>24</v>
      </c>
      <c r="K13" s="51"/>
      <c r="L13" s="52"/>
    </row>
    <row r="14" spans="1:12" ht="15.6" thickTop="1" thickBot="1" x14ac:dyDescent="0.35">
      <c r="A14" s="3">
        <v>1</v>
      </c>
      <c r="B14" t="s">
        <v>9</v>
      </c>
      <c r="C14" t="s">
        <v>34</v>
      </c>
      <c r="D14" t="s">
        <v>19</v>
      </c>
      <c r="E14" t="s">
        <v>13</v>
      </c>
      <c r="F14" t="s">
        <v>13</v>
      </c>
      <c r="J14" s="15" t="s">
        <v>25</v>
      </c>
      <c r="K14" s="16" t="s">
        <v>26</v>
      </c>
      <c r="L14" s="17" t="s">
        <v>27</v>
      </c>
    </row>
    <row r="15" spans="1:12" x14ac:dyDescent="0.3">
      <c r="A15" s="3">
        <v>2</v>
      </c>
      <c r="J15" s="18"/>
      <c r="K15" t="s">
        <v>28</v>
      </c>
      <c r="L15" s="19" t="s">
        <v>29</v>
      </c>
    </row>
    <row r="16" spans="1:12" x14ac:dyDescent="0.3">
      <c r="A16" s="3">
        <v>3</v>
      </c>
      <c r="J16" s="20"/>
      <c r="K16" t="s">
        <v>30</v>
      </c>
      <c r="L16" s="19" t="s">
        <v>31</v>
      </c>
    </row>
    <row r="17" spans="1:12" x14ac:dyDescent="0.3">
      <c r="A17" s="3">
        <v>4</v>
      </c>
      <c r="J17" s="21"/>
      <c r="K17" t="s">
        <v>32</v>
      </c>
      <c r="L17" s="19" t="s">
        <v>31</v>
      </c>
    </row>
    <row r="18" spans="1:12" ht="15" thickBot="1" x14ac:dyDescent="0.35">
      <c r="A18" s="3">
        <v>5</v>
      </c>
      <c r="J18" s="22"/>
      <c r="K18" s="23" t="s">
        <v>33</v>
      </c>
      <c r="L18" s="24" t="s">
        <v>29</v>
      </c>
    </row>
  </sheetData>
  <mergeCells count="1">
    <mergeCell ref="J13:L13"/>
  </mergeCells>
  <pageMargins left="0.7" right="0.7" top="0.75" bottom="0.75" header="0.3" footer="0.3"/>
  <pageSetup paperSize="9" orientation="portrait" r:id="rId1"/>
  <headerFooter>
    <oddFooter>&amp;C_x000D_&amp;1#&amp;"BMW Group Condensed"&amp;12&amp;KC00000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B857B-5D2E-4BE1-B462-B4B5EEAA4370}">
  <dimension ref="A1:G30"/>
  <sheetViews>
    <sheetView tabSelected="1" zoomScale="130" zoomScaleNormal="130" workbookViewId="0">
      <selection activeCell="F5" sqref="F5"/>
    </sheetView>
  </sheetViews>
  <sheetFormatPr defaultColWidth="9.109375" defaultRowHeight="14.4" x14ac:dyDescent="0.3"/>
  <cols>
    <col min="1" max="1" width="18.6640625" bestFit="1" customWidth="1"/>
    <col min="2" max="2" width="13.109375" style="37" customWidth="1"/>
    <col min="3" max="3" width="48" bestFit="1" customWidth="1"/>
    <col min="4" max="5" width="10.33203125" customWidth="1"/>
  </cols>
  <sheetData>
    <row r="1" spans="1:7" ht="15" thickBot="1" x14ac:dyDescent="0.35">
      <c r="A1" s="32" t="s">
        <v>1</v>
      </c>
      <c r="B1" s="36" t="s">
        <v>17</v>
      </c>
      <c r="C1" s="33" t="s">
        <v>14</v>
      </c>
      <c r="D1" s="34" t="s">
        <v>3</v>
      </c>
      <c r="E1" s="33" t="s">
        <v>46</v>
      </c>
      <c r="F1" s="33" t="s">
        <v>15</v>
      </c>
      <c r="G1" s="35" t="s">
        <v>2</v>
      </c>
    </row>
    <row r="2" spans="1:7" ht="58.2" thickTop="1" x14ac:dyDescent="0.3">
      <c r="A2" s="13" t="s">
        <v>89</v>
      </c>
      <c r="B2" s="26" t="s">
        <v>63</v>
      </c>
      <c r="C2" s="46" t="s">
        <v>108</v>
      </c>
      <c r="D2" s="26" t="s">
        <v>78</v>
      </c>
      <c r="E2" s="26" t="s">
        <v>107</v>
      </c>
      <c r="F2" s="6">
        <v>1</v>
      </c>
      <c r="G2" s="29" t="s">
        <v>16</v>
      </c>
    </row>
    <row r="3" spans="1:7" ht="57.6" x14ac:dyDescent="0.3">
      <c r="A3" s="13" t="s">
        <v>90</v>
      </c>
      <c r="B3" s="26" t="s">
        <v>63</v>
      </c>
      <c r="C3" s="5" t="s">
        <v>104</v>
      </c>
      <c r="D3" s="26" t="s">
        <v>22</v>
      </c>
      <c r="E3" s="26" t="s">
        <v>48</v>
      </c>
      <c r="F3" s="6">
        <v>2</v>
      </c>
      <c r="G3" s="29" t="s">
        <v>16</v>
      </c>
    </row>
    <row r="4" spans="1:7" x14ac:dyDescent="0.3">
      <c r="A4" s="13" t="s">
        <v>91</v>
      </c>
      <c r="B4" s="26" t="s">
        <v>63</v>
      </c>
      <c r="C4" s="5" t="s">
        <v>105</v>
      </c>
      <c r="D4" s="26" t="s">
        <v>124</v>
      </c>
      <c r="E4" s="26" t="s">
        <v>49</v>
      </c>
      <c r="F4" s="11">
        <v>1</v>
      </c>
      <c r="G4" s="29" t="s">
        <v>21</v>
      </c>
    </row>
    <row r="5" spans="1:7" x14ac:dyDescent="0.3">
      <c r="A5" s="13" t="s">
        <v>163</v>
      </c>
      <c r="B5" s="26" t="s">
        <v>63</v>
      </c>
      <c r="C5" s="5" t="s">
        <v>165</v>
      </c>
      <c r="D5" s="26" t="s">
        <v>166</v>
      </c>
      <c r="E5" s="26" t="s">
        <v>49</v>
      </c>
      <c r="F5" s="11">
        <v>0.01</v>
      </c>
      <c r="G5" s="29" t="s">
        <v>103</v>
      </c>
    </row>
    <row r="6" spans="1:7" x14ac:dyDescent="0.3">
      <c r="A6" s="13" t="s">
        <v>164</v>
      </c>
      <c r="B6" s="26" t="s">
        <v>63</v>
      </c>
      <c r="C6" s="5" t="s">
        <v>165</v>
      </c>
      <c r="D6" s="26" t="s">
        <v>167</v>
      </c>
      <c r="E6" s="26" t="s">
        <v>49</v>
      </c>
      <c r="F6" s="11">
        <v>0.01</v>
      </c>
      <c r="G6" s="29" t="s">
        <v>103</v>
      </c>
    </row>
    <row r="7" spans="1:7" ht="28.8" x14ac:dyDescent="0.3">
      <c r="A7" s="13" t="s">
        <v>92</v>
      </c>
      <c r="B7" s="26" t="s">
        <v>63</v>
      </c>
      <c r="C7" s="5" t="s">
        <v>106</v>
      </c>
      <c r="D7" s="26" t="s">
        <v>125</v>
      </c>
      <c r="E7" s="26" t="s">
        <v>107</v>
      </c>
      <c r="F7" s="6">
        <v>0</v>
      </c>
      <c r="G7" s="29" t="s">
        <v>16</v>
      </c>
    </row>
    <row r="8" spans="1:7" x14ac:dyDescent="0.3">
      <c r="A8" s="13"/>
      <c r="B8" s="26"/>
      <c r="C8" s="5"/>
      <c r="D8" s="26"/>
      <c r="E8" s="26"/>
      <c r="F8" s="6"/>
      <c r="G8" s="29"/>
    </row>
    <row r="9" spans="1:7" x14ac:dyDescent="0.3">
      <c r="A9" s="13"/>
      <c r="B9" s="26"/>
      <c r="C9" s="5"/>
      <c r="D9" s="26"/>
      <c r="E9" s="26"/>
      <c r="F9" s="6"/>
      <c r="G9" s="29"/>
    </row>
    <row r="10" spans="1:7" x14ac:dyDescent="0.3">
      <c r="A10" s="13"/>
      <c r="B10" s="26"/>
      <c r="C10" s="5"/>
      <c r="D10" s="26"/>
      <c r="E10" s="26"/>
      <c r="F10" s="6"/>
      <c r="G10" s="29"/>
    </row>
    <row r="11" spans="1:7" x14ac:dyDescent="0.3">
      <c r="A11" s="13"/>
      <c r="B11" s="26"/>
      <c r="C11" s="5"/>
      <c r="D11" s="26"/>
      <c r="E11" s="26"/>
      <c r="F11" s="6"/>
      <c r="G11" s="29"/>
    </row>
    <row r="12" spans="1:7" x14ac:dyDescent="0.3">
      <c r="A12" s="13"/>
      <c r="B12" s="26"/>
      <c r="C12" s="5"/>
      <c r="D12" s="26"/>
      <c r="E12" s="26"/>
      <c r="F12" s="6"/>
      <c r="G12" s="29"/>
    </row>
    <row r="13" spans="1:7" x14ac:dyDescent="0.3">
      <c r="A13" s="13"/>
      <c r="B13" s="26"/>
      <c r="C13" s="5"/>
      <c r="D13" s="26"/>
      <c r="E13" s="26"/>
      <c r="F13" s="6"/>
      <c r="G13" s="29"/>
    </row>
    <row r="14" spans="1:7" x14ac:dyDescent="0.3">
      <c r="A14" s="13"/>
      <c r="B14" s="26"/>
      <c r="C14" s="5"/>
      <c r="D14" s="26"/>
      <c r="E14" s="26"/>
      <c r="F14" s="6"/>
      <c r="G14" s="29"/>
    </row>
    <row r="15" spans="1:7" x14ac:dyDescent="0.3">
      <c r="A15" s="13"/>
      <c r="B15" s="26"/>
      <c r="C15" s="5"/>
      <c r="D15" s="26"/>
      <c r="E15" s="26"/>
      <c r="F15" s="6"/>
      <c r="G15" s="29"/>
    </row>
    <row r="16" spans="1:7" x14ac:dyDescent="0.3">
      <c r="A16" s="13"/>
      <c r="B16" s="26"/>
      <c r="C16" s="5"/>
      <c r="D16" s="26"/>
      <c r="E16" s="26"/>
      <c r="F16" s="6"/>
      <c r="G16" s="29"/>
    </row>
    <row r="17" spans="1:7" x14ac:dyDescent="0.3">
      <c r="A17" s="13"/>
      <c r="B17" s="26"/>
      <c r="C17" s="5"/>
      <c r="D17" s="26"/>
      <c r="E17" s="26"/>
      <c r="F17" s="6"/>
      <c r="G17" s="29"/>
    </row>
    <row r="18" spans="1:7" x14ac:dyDescent="0.3">
      <c r="A18" s="13"/>
      <c r="B18" s="26"/>
      <c r="C18" s="5"/>
      <c r="D18" s="26"/>
      <c r="E18" s="26"/>
      <c r="F18" s="6"/>
      <c r="G18" s="29"/>
    </row>
    <row r="19" spans="1:7" x14ac:dyDescent="0.3">
      <c r="A19" s="13"/>
      <c r="B19" s="26"/>
      <c r="C19" s="5"/>
      <c r="D19" s="26"/>
      <c r="E19" s="26"/>
      <c r="F19" s="6"/>
      <c r="G19" s="29"/>
    </row>
    <row r="20" spans="1:7" x14ac:dyDescent="0.3">
      <c r="A20" s="13"/>
      <c r="B20" s="26"/>
      <c r="C20" s="5"/>
      <c r="D20" s="26"/>
      <c r="E20" s="26"/>
      <c r="F20" s="6"/>
      <c r="G20" s="29"/>
    </row>
    <row r="21" spans="1:7" x14ac:dyDescent="0.3">
      <c r="A21" s="13"/>
      <c r="B21" s="26"/>
      <c r="C21" s="5"/>
      <c r="D21" s="26"/>
      <c r="E21" s="26"/>
      <c r="F21" s="6"/>
      <c r="G21" s="29"/>
    </row>
    <row r="22" spans="1:7" x14ac:dyDescent="0.3">
      <c r="A22" s="13"/>
      <c r="B22" s="26"/>
      <c r="C22" s="5"/>
      <c r="D22" s="26"/>
      <c r="E22" s="26"/>
      <c r="F22" s="6"/>
      <c r="G22" s="29"/>
    </row>
    <row r="23" spans="1:7" x14ac:dyDescent="0.3">
      <c r="A23" s="13"/>
      <c r="B23" s="26"/>
      <c r="C23" s="5"/>
      <c r="D23" s="26"/>
      <c r="E23" s="26"/>
      <c r="F23" s="6"/>
      <c r="G23" s="29"/>
    </row>
    <row r="24" spans="1:7" x14ac:dyDescent="0.3">
      <c r="A24" s="13"/>
      <c r="B24" s="26"/>
      <c r="C24" s="5"/>
      <c r="D24" s="26"/>
      <c r="E24" s="26"/>
      <c r="F24" s="6"/>
      <c r="G24" s="29"/>
    </row>
    <row r="25" spans="1:7" x14ac:dyDescent="0.3">
      <c r="A25" s="13"/>
      <c r="B25" s="26"/>
      <c r="C25" s="5"/>
      <c r="D25" s="26"/>
      <c r="E25" s="26"/>
      <c r="F25" s="6"/>
      <c r="G25" s="29"/>
    </row>
    <row r="26" spans="1:7" x14ac:dyDescent="0.3">
      <c r="A26" s="13"/>
      <c r="B26" s="26"/>
      <c r="C26" s="5"/>
      <c r="D26" s="26"/>
      <c r="E26" s="26"/>
      <c r="F26" s="6"/>
      <c r="G26" s="29"/>
    </row>
    <row r="27" spans="1:7" x14ac:dyDescent="0.3">
      <c r="A27" s="13"/>
      <c r="B27" s="26"/>
      <c r="C27" s="5"/>
      <c r="D27" s="26"/>
      <c r="E27" s="26"/>
      <c r="F27" s="6"/>
      <c r="G27" s="29"/>
    </row>
    <row r="28" spans="1:7" x14ac:dyDescent="0.3">
      <c r="A28" s="13"/>
      <c r="B28" s="26"/>
      <c r="C28" s="5"/>
      <c r="D28" s="26"/>
      <c r="E28" s="26"/>
      <c r="F28" s="6"/>
      <c r="G28" s="29"/>
    </row>
    <row r="29" spans="1:7" x14ac:dyDescent="0.3">
      <c r="A29" s="13"/>
      <c r="B29" s="26"/>
      <c r="C29" s="5"/>
      <c r="D29" s="26"/>
      <c r="E29" s="26"/>
      <c r="F29" s="6"/>
      <c r="G29" s="29"/>
    </row>
    <row r="30" spans="1:7" x14ac:dyDescent="0.3">
      <c r="A30" s="13"/>
      <c r="B30" s="26"/>
      <c r="C30" s="5"/>
      <c r="D30" s="26"/>
      <c r="E30" s="26"/>
      <c r="F30" s="6"/>
      <c r="G30" s="29"/>
    </row>
  </sheetData>
  <dataValidations count="4">
    <dataValidation type="list" allowBlank="1" showInputMessage="1" showErrorMessage="1" sqref="F2:F3" xr:uid="{430B1703-6328-4CF3-B881-934A515A8E04}">
      <formula1>"1, 2, 3"</formula1>
    </dataValidation>
    <dataValidation type="list" allowBlank="1" showInputMessage="1" showErrorMessage="1" sqref="F8:F30" xr:uid="{1242AC91-46A9-4A75-8126-745ADEF79F36}">
      <formula1>"fs, fel"</formula1>
    </dataValidation>
    <dataValidation type="decimal" operator="greaterThan" allowBlank="1" showInputMessage="1" showErrorMessage="1" sqref="F4:F6" xr:uid="{A8468154-AECF-4EB2-8B5F-950EAA6989A2}">
      <formula1>0</formula1>
    </dataValidation>
    <dataValidation type="whole" operator="greaterThan" allowBlank="1" showInputMessage="1" showErrorMessage="1" sqref="F7" xr:uid="{CE82E53E-5A7A-4051-9E6E-6A4D5E40EFB4}">
      <formula1>-1</formula1>
    </dataValidation>
  </dataValidations>
  <pageMargins left="0.7" right="0.7" top="0.75" bottom="0.75" header="0.3" footer="0.3"/>
  <pageSetup paperSize="9" orientation="portrait" r:id="rId1"/>
  <headerFooter>
    <oddFooter>&amp;C_x000D_&amp;1#&amp;"BMW Group Condensed"&amp;12&amp;KC00000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90CFD-1D2B-4FE4-A04E-A3C453840C86}">
  <dimension ref="A1:G26"/>
  <sheetViews>
    <sheetView workbookViewId="0">
      <selection activeCell="K17" sqref="K17"/>
    </sheetView>
  </sheetViews>
  <sheetFormatPr defaultColWidth="9.109375" defaultRowHeight="14.4" x14ac:dyDescent="0.3"/>
  <cols>
    <col min="1" max="1" width="18.6640625" bestFit="1" customWidth="1"/>
    <col min="2" max="2" width="13.109375" customWidth="1"/>
    <col min="3" max="3" width="48" bestFit="1" customWidth="1"/>
    <col min="4" max="5" width="10.33203125" customWidth="1"/>
  </cols>
  <sheetData>
    <row r="1" spans="1:7" ht="15" thickBot="1" x14ac:dyDescent="0.35">
      <c r="A1" s="32" t="s">
        <v>1</v>
      </c>
      <c r="B1" s="33" t="s">
        <v>17</v>
      </c>
      <c r="C1" s="33" t="s">
        <v>14</v>
      </c>
      <c r="D1" s="34" t="s">
        <v>3</v>
      </c>
      <c r="E1" s="33" t="s">
        <v>46</v>
      </c>
      <c r="F1" s="33" t="s">
        <v>15</v>
      </c>
      <c r="G1" s="35" t="s">
        <v>2</v>
      </c>
    </row>
    <row r="2" spans="1:7" ht="43.8" thickTop="1" x14ac:dyDescent="0.3">
      <c r="A2" s="13" t="s">
        <v>93</v>
      </c>
      <c r="B2" s="26" t="s">
        <v>63</v>
      </c>
      <c r="C2" s="5" t="s">
        <v>95</v>
      </c>
      <c r="D2" s="26" t="s">
        <v>99</v>
      </c>
      <c r="E2" s="26" t="s">
        <v>48</v>
      </c>
      <c r="F2" s="6">
        <v>1</v>
      </c>
      <c r="G2" s="29" t="s">
        <v>16</v>
      </c>
    </row>
    <row r="3" spans="1:7" ht="72" x14ac:dyDescent="0.3">
      <c r="A3" s="13" t="s">
        <v>94</v>
      </c>
      <c r="B3" s="26" t="s">
        <v>63</v>
      </c>
      <c r="C3" s="5" t="s">
        <v>96</v>
      </c>
      <c r="D3" s="26" t="s">
        <v>100</v>
      </c>
      <c r="E3" s="26" t="s">
        <v>48</v>
      </c>
      <c r="F3" s="6">
        <v>3</v>
      </c>
      <c r="G3" s="29" t="s">
        <v>16</v>
      </c>
    </row>
    <row r="4" spans="1:7" ht="43.2" x14ac:dyDescent="0.3">
      <c r="A4" s="13" t="s">
        <v>97</v>
      </c>
      <c r="B4" s="26" t="s">
        <v>63</v>
      </c>
      <c r="C4" s="5" t="s">
        <v>98</v>
      </c>
      <c r="D4" s="26" t="s">
        <v>101</v>
      </c>
      <c r="E4" s="26" t="s">
        <v>102</v>
      </c>
      <c r="F4" s="11">
        <v>0</v>
      </c>
      <c r="G4" s="29" t="s">
        <v>103</v>
      </c>
    </row>
    <row r="5" spans="1:7" ht="28.8" x14ac:dyDescent="0.3">
      <c r="A5" s="13" t="s">
        <v>109</v>
      </c>
      <c r="B5" s="26" t="s">
        <v>63</v>
      </c>
      <c r="C5" s="5" t="s">
        <v>121</v>
      </c>
      <c r="D5" s="26" t="s">
        <v>115</v>
      </c>
      <c r="E5" s="26" t="s">
        <v>102</v>
      </c>
      <c r="F5" s="11">
        <v>0</v>
      </c>
      <c r="G5" s="29" t="s">
        <v>103</v>
      </c>
    </row>
    <row r="6" spans="1:7" ht="28.8" x14ac:dyDescent="0.3">
      <c r="A6" s="13" t="s">
        <v>110</v>
      </c>
      <c r="B6" s="26" t="s">
        <v>63</v>
      </c>
      <c r="C6" s="5" t="s">
        <v>123</v>
      </c>
      <c r="D6" s="26" t="s">
        <v>116</v>
      </c>
      <c r="E6" s="26" t="s">
        <v>102</v>
      </c>
      <c r="F6" s="11">
        <v>0</v>
      </c>
      <c r="G6" s="29" t="s">
        <v>103</v>
      </c>
    </row>
    <row r="7" spans="1:7" ht="28.8" x14ac:dyDescent="0.3">
      <c r="A7" s="13" t="s">
        <v>111</v>
      </c>
      <c r="B7" s="26" t="s">
        <v>63</v>
      </c>
      <c r="C7" s="5" t="s">
        <v>122</v>
      </c>
      <c r="D7" s="26" t="s">
        <v>117</v>
      </c>
      <c r="E7" s="26" t="s">
        <v>102</v>
      </c>
      <c r="F7" s="11">
        <v>0</v>
      </c>
      <c r="G7" s="29" t="s">
        <v>103</v>
      </c>
    </row>
    <row r="8" spans="1:7" ht="28.8" x14ac:dyDescent="0.3">
      <c r="A8" s="13" t="s">
        <v>112</v>
      </c>
      <c r="B8" s="26" t="s">
        <v>63</v>
      </c>
      <c r="C8" s="5" t="s">
        <v>121</v>
      </c>
      <c r="D8" s="26" t="s">
        <v>118</v>
      </c>
      <c r="E8" s="26" t="s">
        <v>102</v>
      </c>
      <c r="F8" s="11">
        <v>0</v>
      </c>
      <c r="G8" s="29" t="s">
        <v>103</v>
      </c>
    </row>
    <row r="9" spans="1:7" ht="28.8" x14ac:dyDescent="0.3">
      <c r="A9" s="13" t="s">
        <v>113</v>
      </c>
      <c r="B9" s="26" t="s">
        <v>63</v>
      </c>
      <c r="C9" s="5" t="s">
        <v>123</v>
      </c>
      <c r="D9" s="26" t="s">
        <v>119</v>
      </c>
      <c r="E9" s="26" t="s">
        <v>102</v>
      </c>
      <c r="F9" s="11">
        <v>0</v>
      </c>
      <c r="G9" s="29" t="s">
        <v>103</v>
      </c>
    </row>
    <row r="10" spans="1:7" ht="28.8" x14ac:dyDescent="0.3">
      <c r="A10" s="13" t="s">
        <v>114</v>
      </c>
      <c r="B10" s="26" t="s">
        <v>63</v>
      </c>
      <c r="C10" s="5" t="s">
        <v>122</v>
      </c>
      <c r="D10" s="26" t="s">
        <v>120</v>
      </c>
      <c r="E10" s="26" t="s">
        <v>102</v>
      </c>
      <c r="F10" s="11">
        <v>0</v>
      </c>
      <c r="G10" s="29" t="s">
        <v>103</v>
      </c>
    </row>
    <row r="11" spans="1:7" x14ac:dyDescent="0.3">
      <c r="A11" s="13"/>
      <c r="B11" s="25"/>
      <c r="C11" s="5"/>
      <c r="D11" s="26"/>
      <c r="E11" s="26"/>
      <c r="F11" s="6"/>
      <c r="G11" s="29"/>
    </row>
    <row r="12" spans="1:7" x14ac:dyDescent="0.3">
      <c r="A12" s="13"/>
      <c r="B12" s="25"/>
      <c r="C12" s="5"/>
      <c r="D12" s="26"/>
      <c r="E12" s="26"/>
      <c r="F12" s="6"/>
      <c r="G12" s="29"/>
    </row>
    <row r="13" spans="1:7" x14ac:dyDescent="0.3">
      <c r="A13" s="13"/>
      <c r="B13" s="25"/>
      <c r="C13" s="5"/>
      <c r="D13" s="26"/>
      <c r="E13" s="26"/>
      <c r="F13" s="6"/>
      <c r="G13" s="29"/>
    </row>
    <row r="14" spans="1:7" x14ac:dyDescent="0.3">
      <c r="A14" s="13"/>
      <c r="B14" s="25"/>
      <c r="C14" s="5"/>
      <c r="D14" s="26"/>
      <c r="E14" s="26"/>
      <c r="F14" s="6"/>
      <c r="G14" s="29"/>
    </row>
    <row r="15" spans="1:7" x14ac:dyDescent="0.3">
      <c r="A15" s="13"/>
      <c r="B15" s="25"/>
      <c r="C15" s="5"/>
      <c r="D15" s="26"/>
      <c r="E15" s="26"/>
      <c r="F15" s="6"/>
      <c r="G15" s="29"/>
    </row>
    <row r="16" spans="1:7" x14ac:dyDescent="0.3">
      <c r="A16" s="13"/>
      <c r="B16" s="25"/>
      <c r="C16" s="5"/>
      <c r="D16" s="26"/>
      <c r="E16" s="26"/>
      <c r="F16" s="6"/>
      <c r="G16" s="29"/>
    </row>
    <row r="17" spans="1:7" x14ac:dyDescent="0.3">
      <c r="A17" s="13"/>
      <c r="B17" s="25"/>
      <c r="C17" s="5"/>
      <c r="D17" s="26"/>
      <c r="E17" s="26"/>
      <c r="F17" s="6"/>
      <c r="G17" s="29"/>
    </row>
    <row r="18" spans="1:7" x14ac:dyDescent="0.3">
      <c r="A18" s="13"/>
      <c r="B18" s="25"/>
      <c r="C18" s="5"/>
      <c r="D18" s="26"/>
      <c r="E18" s="26"/>
      <c r="F18" s="6"/>
      <c r="G18" s="29"/>
    </row>
    <row r="19" spans="1:7" x14ac:dyDescent="0.3">
      <c r="A19" s="13"/>
      <c r="B19" s="25"/>
      <c r="C19" s="5"/>
      <c r="D19" s="26"/>
      <c r="E19" s="26"/>
      <c r="F19" s="6"/>
      <c r="G19" s="29"/>
    </row>
    <row r="20" spans="1:7" x14ac:dyDescent="0.3">
      <c r="A20" s="13"/>
      <c r="B20" s="25"/>
      <c r="C20" s="5"/>
      <c r="D20" s="26"/>
      <c r="E20" s="26"/>
      <c r="F20" s="6"/>
      <c r="G20" s="29"/>
    </row>
    <row r="21" spans="1:7" x14ac:dyDescent="0.3">
      <c r="A21" s="13"/>
      <c r="B21" s="25"/>
      <c r="C21" s="5"/>
      <c r="D21" s="26"/>
      <c r="E21" s="26"/>
      <c r="F21" s="6"/>
      <c r="G21" s="29"/>
    </row>
    <row r="22" spans="1:7" x14ac:dyDescent="0.3">
      <c r="A22" s="13"/>
      <c r="B22" s="25"/>
      <c r="C22" s="5"/>
      <c r="D22" s="26"/>
      <c r="E22" s="26"/>
      <c r="F22" s="6"/>
      <c r="G22" s="29"/>
    </row>
    <row r="23" spans="1:7" x14ac:dyDescent="0.3">
      <c r="A23" s="13"/>
      <c r="B23" s="25"/>
      <c r="C23" s="5"/>
      <c r="D23" s="26"/>
      <c r="E23" s="26"/>
      <c r="F23" s="6"/>
      <c r="G23" s="29"/>
    </row>
    <row r="24" spans="1:7" x14ac:dyDescent="0.3">
      <c r="A24" s="13"/>
      <c r="B24" s="25"/>
      <c r="C24" s="5"/>
      <c r="D24" s="26"/>
      <c r="E24" s="26"/>
      <c r="F24" s="6"/>
      <c r="G24" s="29"/>
    </row>
    <row r="25" spans="1:7" x14ac:dyDescent="0.3">
      <c r="A25" s="13"/>
      <c r="B25" s="25"/>
      <c r="C25" s="5"/>
      <c r="D25" s="26"/>
      <c r="E25" s="26"/>
      <c r="F25" s="6"/>
      <c r="G25" s="29"/>
    </row>
    <row r="26" spans="1:7" x14ac:dyDescent="0.3">
      <c r="A26" s="13"/>
      <c r="B26" s="25"/>
      <c r="C26" s="5"/>
      <c r="D26" s="26"/>
      <c r="E26" s="26"/>
      <c r="F26" s="6"/>
      <c r="G26" s="29"/>
    </row>
  </sheetData>
  <dataValidations count="3">
    <dataValidation type="list" allowBlank="1" showInputMessage="1" showErrorMessage="1" sqref="F11:F26" xr:uid="{1216C920-F66D-486D-9FEC-8D6771F4D7DB}">
      <formula1>"fs, fel"</formula1>
    </dataValidation>
    <dataValidation type="list" allowBlank="1" showInputMessage="1" showErrorMessage="1" sqref="F3" xr:uid="{F91803D7-6ECC-462D-BB39-BF39F2230D48}">
      <formula1>"1, 2, 3"</formula1>
    </dataValidation>
    <dataValidation type="list" allowBlank="1" showInputMessage="1" showErrorMessage="1" sqref="F2" xr:uid="{83ADC3B0-4649-4A01-9D68-DDE40B796C91}">
      <formula1>"1, 2"</formula1>
    </dataValidation>
  </dataValidations>
  <pageMargins left="0.7" right="0.7" top="0.75" bottom="0.75" header="0.3" footer="0.3"/>
  <headerFooter>
    <oddFooter>&amp;C_x000D_&amp;1#&amp;"BMW Group Condensed"&amp;12&amp;KC00000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FBFCB-8244-4B83-8CC9-EBD2890613E5}">
  <dimension ref="A1:G53"/>
  <sheetViews>
    <sheetView workbookViewId="0">
      <selection activeCell="E36" sqref="E36"/>
    </sheetView>
  </sheetViews>
  <sheetFormatPr defaultColWidth="9.109375" defaultRowHeight="14.4" x14ac:dyDescent="0.3"/>
  <cols>
    <col min="1" max="1" width="29.33203125" bestFit="1" customWidth="1"/>
    <col min="2" max="2" width="13.109375" style="37" customWidth="1"/>
    <col min="3" max="3" width="48" bestFit="1" customWidth="1"/>
    <col min="4" max="5" width="10.33203125" customWidth="1"/>
    <col min="7" max="7" width="9.6640625" bestFit="1" customWidth="1"/>
  </cols>
  <sheetData>
    <row r="1" spans="1:7" ht="15" thickBot="1" x14ac:dyDescent="0.35">
      <c r="A1" s="32" t="s">
        <v>1</v>
      </c>
      <c r="B1" s="36" t="s">
        <v>17</v>
      </c>
      <c r="C1" s="33" t="s">
        <v>14</v>
      </c>
      <c r="D1" s="34" t="s">
        <v>3</v>
      </c>
      <c r="E1" s="33" t="s">
        <v>46</v>
      </c>
      <c r="F1" s="33" t="s">
        <v>15</v>
      </c>
      <c r="G1" s="35" t="s">
        <v>2</v>
      </c>
    </row>
    <row r="2" spans="1:7" ht="15" thickTop="1" x14ac:dyDescent="0.3">
      <c r="A2" s="12" t="s">
        <v>56</v>
      </c>
      <c r="B2" s="28" t="s">
        <v>63</v>
      </c>
      <c r="C2" s="8" t="s">
        <v>141</v>
      </c>
      <c r="D2" s="28" t="s">
        <v>65</v>
      </c>
      <c r="E2" s="28" t="s">
        <v>49</v>
      </c>
      <c r="F2" s="44">
        <v>1E-3</v>
      </c>
      <c r="G2" s="31" t="s">
        <v>16</v>
      </c>
    </row>
    <row r="3" spans="1:7" x14ac:dyDescent="0.3">
      <c r="A3" s="13" t="s">
        <v>57</v>
      </c>
      <c r="B3" s="26" t="s">
        <v>63</v>
      </c>
      <c r="C3" s="5" t="s">
        <v>139</v>
      </c>
      <c r="D3" s="26" t="s">
        <v>20</v>
      </c>
      <c r="E3" s="26" t="s">
        <v>49</v>
      </c>
      <c r="F3" s="43">
        <v>9.9999999999999998E-13</v>
      </c>
      <c r="G3" s="29" t="s">
        <v>16</v>
      </c>
    </row>
    <row r="4" spans="1:7" ht="100.8" x14ac:dyDescent="0.3">
      <c r="A4" s="13" t="s">
        <v>58</v>
      </c>
      <c r="B4" s="26" t="s">
        <v>63</v>
      </c>
      <c r="C4" s="5" t="s">
        <v>142</v>
      </c>
      <c r="D4" s="26" t="s">
        <v>61</v>
      </c>
      <c r="E4" s="26" t="s">
        <v>47</v>
      </c>
      <c r="F4" s="6">
        <v>1</v>
      </c>
      <c r="G4" s="29" t="s">
        <v>16</v>
      </c>
    </row>
    <row r="5" spans="1:7" x14ac:dyDescent="0.3">
      <c r="A5" s="38" t="s">
        <v>156</v>
      </c>
      <c r="B5" s="39" t="s">
        <v>63</v>
      </c>
      <c r="C5" s="40" t="s">
        <v>157</v>
      </c>
      <c r="D5" s="39" t="s">
        <v>158</v>
      </c>
      <c r="E5" s="39" t="s">
        <v>48</v>
      </c>
      <c r="F5" s="47">
        <v>10000</v>
      </c>
      <c r="G5" s="41" t="s">
        <v>16</v>
      </c>
    </row>
    <row r="6" spans="1:7" x14ac:dyDescent="0.3">
      <c r="A6" s="38" t="s">
        <v>59</v>
      </c>
      <c r="B6" s="39" t="s">
        <v>63</v>
      </c>
      <c r="C6" s="40" t="s">
        <v>143</v>
      </c>
      <c r="D6" s="39" t="s">
        <v>60</v>
      </c>
      <c r="E6" s="39" t="s">
        <v>48</v>
      </c>
      <c r="F6" s="47">
        <v>20</v>
      </c>
      <c r="G6" s="41" t="s">
        <v>16</v>
      </c>
    </row>
    <row r="7" spans="1:7" ht="43.2" x14ac:dyDescent="0.3">
      <c r="A7" s="38" t="s">
        <v>188</v>
      </c>
      <c r="B7" s="39" t="s">
        <v>63</v>
      </c>
      <c r="C7" s="40" t="s">
        <v>189</v>
      </c>
      <c r="D7" s="39" t="s">
        <v>190</v>
      </c>
      <c r="E7" s="26" t="s">
        <v>48</v>
      </c>
      <c r="F7" s="6">
        <v>0</v>
      </c>
      <c r="G7" s="29" t="s">
        <v>16</v>
      </c>
    </row>
    <row r="8" spans="1:7" ht="28.8" x14ac:dyDescent="0.3">
      <c r="A8" s="13" t="s">
        <v>81</v>
      </c>
      <c r="B8" s="26" t="s">
        <v>63</v>
      </c>
      <c r="C8" s="5" t="s">
        <v>136</v>
      </c>
      <c r="D8" s="26" t="s">
        <v>159</v>
      </c>
      <c r="E8" s="28" t="s">
        <v>48</v>
      </c>
      <c r="F8" s="9">
        <v>10</v>
      </c>
      <c r="G8" s="31" t="s">
        <v>16</v>
      </c>
    </row>
    <row r="9" spans="1:7" ht="15" thickBot="1" x14ac:dyDescent="0.35">
      <c r="A9" s="14" t="s">
        <v>82</v>
      </c>
      <c r="B9" s="27" t="s">
        <v>63</v>
      </c>
      <c r="C9" s="7" t="s">
        <v>137</v>
      </c>
      <c r="D9" s="27" t="s">
        <v>233</v>
      </c>
      <c r="E9" s="27" t="s">
        <v>55</v>
      </c>
      <c r="F9" s="42">
        <v>0.99990000000000001</v>
      </c>
      <c r="G9" s="30" t="s">
        <v>18</v>
      </c>
    </row>
    <row r="10" spans="1:7" x14ac:dyDescent="0.3">
      <c r="A10" s="12" t="s">
        <v>72</v>
      </c>
      <c r="B10" s="28" t="s">
        <v>64</v>
      </c>
      <c r="C10" s="8" t="s">
        <v>70</v>
      </c>
      <c r="D10" s="28" t="s">
        <v>127</v>
      </c>
      <c r="E10" s="28" t="s">
        <v>48</v>
      </c>
      <c r="F10" s="9">
        <v>3</v>
      </c>
      <c r="G10" s="31" t="s">
        <v>16</v>
      </c>
    </row>
    <row r="11" spans="1:7" ht="29.4" thickBot="1" x14ac:dyDescent="0.35">
      <c r="A11" s="14" t="s">
        <v>66</v>
      </c>
      <c r="B11" s="27" t="s">
        <v>64</v>
      </c>
      <c r="C11" s="7" t="s">
        <v>68</v>
      </c>
      <c r="D11" s="27" t="s">
        <v>67</v>
      </c>
      <c r="E11" s="27" t="s">
        <v>102</v>
      </c>
      <c r="F11" s="10">
        <v>0</v>
      </c>
      <c r="G11" s="30" t="s">
        <v>69</v>
      </c>
    </row>
    <row r="12" spans="1:7" x14ac:dyDescent="0.3">
      <c r="A12" s="12" t="s">
        <v>71</v>
      </c>
      <c r="B12" s="28" t="s">
        <v>77</v>
      </c>
      <c r="C12" s="8" t="s">
        <v>126</v>
      </c>
      <c r="D12" s="28" t="s">
        <v>127</v>
      </c>
      <c r="E12" s="28" t="s">
        <v>48</v>
      </c>
      <c r="F12" s="9">
        <v>3</v>
      </c>
      <c r="G12" s="31" t="s">
        <v>16</v>
      </c>
    </row>
    <row r="13" spans="1:7" ht="43.2" x14ac:dyDescent="0.3">
      <c r="A13" s="13" t="s">
        <v>73</v>
      </c>
      <c r="B13" s="26" t="s">
        <v>77</v>
      </c>
      <c r="C13" s="5" t="s">
        <v>128</v>
      </c>
      <c r="D13" s="26" t="s">
        <v>129</v>
      </c>
      <c r="E13" s="26" t="s">
        <v>48</v>
      </c>
      <c r="F13" s="6">
        <v>1</v>
      </c>
      <c r="G13" s="29" t="s">
        <v>16</v>
      </c>
    </row>
    <row r="14" spans="1:7" ht="43.2" x14ac:dyDescent="0.3">
      <c r="A14" s="13" t="s">
        <v>74</v>
      </c>
      <c r="B14" s="26" t="s">
        <v>77</v>
      </c>
      <c r="C14" s="5" t="s">
        <v>130</v>
      </c>
      <c r="D14" s="26" t="s">
        <v>131</v>
      </c>
      <c r="E14" s="26" t="s">
        <v>48</v>
      </c>
      <c r="F14" s="6">
        <v>1</v>
      </c>
      <c r="G14" s="29" t="s">
        <v>16</v>
      </c>
    </row>
    <row r="15" spans="1:7" ht="57.6" x14ac:dyDescent="0.3">
      <c r="A15" s="13" t="s">
        <v>75</v>
      </c>
      <c r="B15" s="26" t="s">
        <v>77</v>
      </c>
      <c r="C15" s="5" t="s">
        <v>132</v>
      </c>
      <c r="D15" s="26" t="s">
        <v>61</v>
      </c>
      <c r="E15" s="26" t="s">
        <v>48</v>
      </c>
      <c r="F15" s="6">
        <v>1</v>
      </c>
      <c r="G15" s="29" t="s">
        <v>16</v>
      </c>
    </row>
    <row r="16" spans="1:7" ht="43.2" x14ac:dyDescent="0.3">
      <c r="A16" s="13" t="s">
        <v>76</v>
      </c>
      <c r="B16" s="26" t="s">
        <v>77</v>
      </c>
      <c r="C16" s="5" t="s">
        <v>133</v>
      </c>
      <c r="D16" s="26" t="s">
        <v>78</v>
      </c>
      <c r="E16" s="26" t="s">
        <v>48</v>
      </c>
      <c r="F16" s="6">
        <v>2</v>
      </c>
      <c r="G16" s="29" t="s">
        <v>16</v>
      </c>
    </row>
    <row r="17" spans="1:7" ht="29.4" thickBot="1" x14ac:dyDescent="0.35">
      <c r="A17" s="14" t="s">
        <v>168</v>
      </c>
      <c r="B17" s="27" t="s">
        <v>77</v>
      </c>
      <c r="C17" s="7" t="s">
        <v>140</v>
      </c>
      <c r="D17" s="27" t="s">
        <v>134</v>
      </c>
      <c r="E17" s="27" t="s">
        <v>48</v>
      </c>
      <c r="F17" s="10">
        <v>1</v>
      </c>
      <c r="G17" s="30" t="s">
        <v>16</v>
      </c>
    </row>
    <row r="18" spans="1:7" x14ac:dyDescent="0.3">
      <c r="A18" s="12" t="s">
        <v>79</v>
      </c>
      <c r="B18" s="28" t="s">
        <v>83</v>
      </c>
      <c r="C18" s="8" t="s">
        <v>138</v>
      </c>
      <c r="D18" s="28" t="s">
        <v>127</v>
      </c>
      <c r="E18" s="28" t="s">
        <v>48</v>
      </c>
      <c r="F18" s="9">
        <v>3</v>
      </c>
      <c r="G18" s="31" t="s">
        <v>16</v>
      </c>
    </row>
    <row r="19" spans="1:7" ht="58.2" thickBot="1" x14ac:dyDescent="0.35">
      <c r="A19" s="14" t="s">
        <v>80</v>
      </c>
      <c r="B19" s="27" t="s">
        <v>83</v>
      </c>
      <c r="C19" s="7" t="s">
        <v>135</v>
      </c>
      <c r="D19" s="27" t="s">
        <v>62</v>
      </c>
      <c r="E19" s="27" t="s">
        <v>48</v>
      </c>
      <c r="F19" s="10">
        <v>1</v>
      </c>
      <c r="G19" s="30" t="s">
        <v>16</v>
      </c>
    </row>
    <row r="20" spans="1:7" x14ac:dyDescent="0.3">
      <c r="A20" s="12" t="s">
        <v>169</v>
      </c>
      <c r="B20" s="28" t="s">
        <v>170</v>
      </c>
      <c r="C20" s="8" t="s">
        <v>171</v>
      </c>
      <c r="D20" s="28" t="s">
        <v>127</v>
      </c>
      <c r="E20" s="28" t="s">
        <v>48</v>
      </c>
      <c r="F20" s="9">
        <v>3</v>
      </c>
      <c r="G20" s="31" t="s">
        <v>16</v>
      </c>
    </row>
    <row r="21" spans="1:7" ht="43.2" x14ac:dyDescent="0.3">
      <c r="A21" s="13" t="s">
        <v>172</v>
      </c>
      <c r="B21" s="26" t="s">
        <v>170</v>
      </c>
      <c r="C21" s="5" t="s">
        <v>177</v>
      </c>
      <c r="D21" s="26" t="s">
        <v>176</v>
      </c>
      <c r="E21" s="26" t="s">
        <v>48</v>
      </c>
      <c r="F21" s="6">
        <v>1</v>
      </c>
      <c r="G21" s="29"/>
    </row>
    <row r="22" spans="1:7" ht="86.4" x14ac:dyDescent="0.3">
      <c r="A22" s="13" t="s">
        <v>173</v>
      </c>
      <c r="B22" s="26" t="s">
        <v>170</v>
      </c>
      <c r="C22" s="5" t="s">
        <v>174</v>
      </c>
      <c r="D22" s="26" t="s">
        <v>175</v>
      </c>
      <c r="E22" s="26" t="s">
        <v>47</v>
      </c>
      <c r="F22" s="6">
        <v>3</v>
      </c>
      <c r="G22" s="29" t="s">
        <v>16</v>
      </c>
    </row>
    <row r="23" spans="1:7" ht="43.2" x14ac:dyDescent="0.3">
      <c r="A23" s="12" t="s">
        <v>178</v>
      </c>
      <c r="B23" s="28" t="s">
        <v>184</v>
      </c>
      <c r="C23" s="8" t="s">
        <v>186</v>
      </c>
      <c r="D23" s="28" t="s">
        <v>181</v>
      </c>
      <c r="E23" s="28" t="s">
        <v>48</v>
      </c>
      <c r="F23" s="9">
        <v>10</v>
      </c>
      <c r="G23" s="31" t="s">
        <v>16</v>
      </c>
    </row>
    <row r="24" spans="1:7" ht="57.6" x14ac:dyDescent="0.3">
      <c r="A24" s="13" t="s">
        <v>179</v>
      </c>
      <c r="B24" s="26" t="s">
        <v>184</v>
      </c>
      <c r="C24" s="5" t="s">
        <v>185</v>
      </c>
      <c r="D24" s="26" t="s">
        <v>182</v>
      </c>
      <c r="E24" s="26" t="s">
        <v>48</v>
      </c>
      <c r="F24" s="6">
        <v>50</v>
      </c>
      <c r="G24" s="29" t="s">
        <v>16</v>
      </c>
    </row>
    <row r="25" spans="1:7" ht="43.8" thickBot="1" x14ac:dyDescent="0.35">
      <c r="A25" s="14" t="s">
        <v>180</v>
      </c>
      <c r="B25" s="27" t="s">
        <v>184</v>
      </c>
      <c r="C25" s="7" t="s">
        <v>187</v>
      </c>
      <c r="D25" s="27" t="s">
        <v>183</v>
      </c>
      <c r="E25" s="27" t="s">
        <v>48</v>
      </c>
      <c r="F25" s="10">
        <v>20</v>
      </c>
      <c r="G25" s="30" t="s">
        <v>16</v>
      </c>
    </row>
    <row r="26" spans="1:7" ht="57.6" x14ac:dyDescent="0.3">
      <c r="A26" s="12" t="s">
        <v>192</v>
      </c>
      <c r="B26" s="28" t="s">
        <v>191</v>
      </c>
      <c r="C26" s="8" t="s">
        <v>198</v>
      </c>
      <c r="D26" s="28" t="s">
        <v>199</v>
      </c>
      <c r="E26" s="28" t="s">
        <v>47</v>
      </c>
      <c r="F26" s="48">
        <v>1</v>
      </c>
      <c r="G26" s="49" t="s">
        <v>16</v>
      </c>
    </row>
    <row r="27" spans="1:7" ht="57.6" x14ac:dyDescent="0.3">
      <c r="A27" s="13" t="s">
        <v>193</v>
      </c>
      <c r="B27" s="26" t="s">
        <v>191</v>
      </c>
      <c r="C27" s="5" t="s">
        <v>195</v>
      </c>
      <c r="D27" s="26" t="s">
        <v>197</v>
      </c>
      <c r="E27" s="26" t="s">
        <v>49</v>
      </c>
      <c r="F27" s="9">
        <v>1</v>
      </c>
      <c r="G27" s="31" t="s">
        <v>16</v>
      </c>
    </row>
    <row r="28" spans="1:7" ht="43.8" thickBot="1" x14ac:dyDescent="0.35">
      <c r="A28" s="14" t="s">
        <v>194</v>
      </c>
      <c r="B28" s="27" t="s">
        <v>191</v>
      </c>
      <c r="C28" s="7" t="s">
        <v>196</v>
      </c>
      <c r="D28" s="27" t="s">
        <v>20</v>
      </c>
      <c r="E28" s="27" t="s">
        <v>49</v>
      </c>
      <c r="F28" s="10">
        <v>1</v>
      </c>
      <c r="G28" s="30" t="s">
        <v>16</v>
      </c>
    </row>
    <row r="29" spans="1:7" ht="43.2" x14ac:dyDescent="0.3">
      <c r="A29" s="12" t="s">
        <v>200</v>
      </c>
      <c r="B29" s="28" t="s">
        <v>206</v>
      </c>
      <c r="C29" s="8" t="s">
        <v>210</v>
      </c>
      <c r="D29" s="28" t="s">
        <v>212</v>
      </c>
      <c r="E29" s="26" t="s">
        <v>48</v>
      </c>
      <c r="F29" s="6">
        <v>100</v>
      </c>
      <c r="G29" s="29" t="s">
        <v>16</v>
      </c>
    </row>
    <row r="30" spans="1:7" ht="43.2" x14ac:dyDescent="0.3">
      <c r="A30" s="13" t="s">
        <v>201</v>
      </c>
      <c r="B30" s="26" t="s">
        <v>206</v>
      </c>
      <c r="C30" s="5" t="s">
        <v>211</v>
      </c>
      <c r="D30" s="26" t="s">
        <v>213</v>
      </c>
      <c r="E30" s="26" t="s">
        <v>49</v>
      </c>
      <c r="F30" s="9">
        <v>1</v>
      </c>
      <c r="G30" s="31" t="s">
        <v>16</v>
      </c>
    </row>
    <row r="31" spans="1:7" ht="43.2" x14ac:dyDescent="0.3">
      <c r="A31" s="13" t="s">
        <v>202</v>
      </c>
      <c r="B31" s="26" t="s">
        <v>206</v>
      </c>
      <c r="C31" s="5" t="s">
        <v>215</v>
      </c>
      <c r="D31" s="26" t="s">
        <v>214</v>
      </c>
      <c r="E31" s="26" t="s">
        <v>49</v>
      </c>
      <c r="F31" s="9">
        <v>1E-3</v>
      </c>
      <c r="G31" s="31" t="s">
        <v>16</v>
      </c>
    </row>
    <row r="32" spans="1:7" ht="28.8" x14ac:dyDescent="0.3">
      <c r="A32" s="13" t="s">
        <v>203</v>
      </c>
      <c r="B32" s="26" t="s">
        <v>206</v>
      </c>
      <c r="C32" s="5" t="s">
        <v>216</v>
      </c>
      <c r="D32" s="26" t="s">
        <v>218</v>
      </c>
      <c r="E32" s="26" t="s">
        <v>48</v>
      </c>
      <c r="F32" s="6">
        <v>10</v>
      </c>
      <c r="G32" s="31" t="s">
        <v>16</v>
      </c>
    </row>
    <row r="33" spans="1:7" ht="43.2" x14ac:dyDescent="0.3">
      <c r="A33" s="13" t="s">
        <v>204</v>
      </c>
      <c r="B33" s="26" t="s">
        <v>206</v>
      </c>
      <c r="C33" s="5" t="s">
        <v>217</v>
      </c>
      <c r="D33" s="26" t="s">
        <v>219</v>
      </c>
      <c r="E33" s="26" t="s">
        <v>49</v>
      </c>
      <c r="F33" s="9">
        <v>0.5</v>
      </c>
      <c r="G33" s="29" t="s">
        <v>16</v>
      </c>
    </row>
    <row r="34" spans="1:7" ht="43.2" x14ac:dyDescent="0.3">
      <c r="A34" s="13" t="s">
        <v>205</v>
      </c>
      <c r="B34" s="26" t="s">
        <v>206</v>
      </c>
      <c r="C34" s="5" t="s">
        <v>220</v>
      </c>
      <c r="D34" s="26" t="s">
        <v>221</v>
      </c>
      <c r="E34" s="26" t="s">
        <v>48</v>
      </c>
      <c r="F34" s="6">
        <v>100</v>
      </c>
      <c r="G34" s="29" t="s">
        <v>16</v>
      </c>
    </row>
    <row r="35" spans="1:7" ht="43.2" x14ac:dyDescent="0.3">
      <c r="A35" s="13" t="s">
        <v>207</v>
      </c>
      <c r="B35" s="26" t="s">
        <v>206</v>
      </c>
      <c r="C35" s="5" t="s">
        <v>222</v>
      </c>
      <c r="D35" s="26" t="s">
        <v>223</v>
      </c>
      <c r="E35" s="26" t="s">
        <v>48</v>
      </c>
      <c r="F35" s="6">
        <v>1024</v>
      </c>
      <c r="G35" s="29" t="s">
        <v>16</v>
      </c>
    </row>
    <row r="36" spans="1:7" ht="72" x14ac:dyDescent="0.3">
      <c r="A36" s="13" t="s">
        <v>208</v>
      </c>
      <c r="B36" s="26" t="s">
        <v>206</v>
      </c>
      <c r="C36" s="5" t="s">
        <v>224</v>
      </c>
      <c r="D36" s="26" t="s">
        <v>225</v>
      </c>
      <c r="E36" s="26" t="s">
        <v>48</v>
      </c>
      <c r="F36" s="6">
        <v>3</v>
      </c>
      <c r="G36" s="29" t="s">
        <v>16</v>
      </c>
    </row>
    <row r="37" spans="1:7" ht="57.6" x14ac:dyDescent="0.3">
      <c r="A37" s="38" t="s">
        <v>228</v>
      </c>
      <c r="B37" s="39" t="s">
        <v>206</v>
      </c>
      <c r="C37" s="40" t="s">
        <v>230</v>
      </c>
      <c r="D37" s="39" t="s">
        <v>231</v>
      </c>
      <c r="E37" s="26" t="s">
        <v>48</v>
      </c>
      <c r="F37" s="6">
        <v>600</v>
      </c>
      <c r="G37" s="29" t="s">
        <v>16</v>
      </c>
    </row>
    <row r="38" spans="1:7" ht="28.8" x14ac:dyDescent="0.3">
      <c r="A38" s="38" t="s">
        <v>229</v>
      </c>
      <c r="B38" s="39" t="s">
        <v>206</v>
      </c>
      <c r="C38" s="40" t="s">
        <v>259</v>
      </c>
      <c r="D38" s="39" t="s">
        <v>232</v>
      </c>
      <c r="E38" s="26" t="s">
        <v>48</v>
      </c>
      <c r="F38" s="6">
        <v>5</v>
      </c>
      <c r="G38" s="29" t="s">
        <v>16</v>
      </c>
    </row>
    <row r="39" spans="1:7" ht="29.4" thickBot="1" x14ac:dyDescent="0.35">
      <c r="A39" s="14" t="s">
        <v>209</v>
      </c>
      <c r="B39" s="27" t="s">
        <v>206</v>
      </c>
      <c r="C39" s="7" t="s">
        <v>226</v>
      </c>
      <c r="D39" s="27" t="s">
        <v>227</v>
      </c>
      <c r="E39" s="27" t="s">
        <v>48</v>
      </c>
      <c r="F39" s="10">
        <v>5</v>
      </c>
      <c r="G39" s="30" t="s">
        <v>16</v>
      </c>
    </row>
    <row r="40" spans="1:7" ht="57.6" x14ac:dyDescent="0.3">
      <c r="A40" s="12" t="s">
        <v>234</v>
      </c>
      <c r="B40" s="28" t="s">
        <v>235</v>
      </c>
      <c r="C40" s="8" t="s">
        <v>236</v>
      </c>
      <c r="D40" s="28" t="s">
        <v>237</v>
      </c>
      <c r="E40" s="28" t="s">
        <v>107</v>
      </c>
      <c r="F40" s="48">
        <v>1</v>
      </c>
      <c r="G40" s="31" t="s">
        <v>16</v>
      </c>
    </row>
    <row r="41" spans="1:7" ht="57.6" x14ac:dyDescent="0.3">
      <c r="A41" s="13" t="s">
        <v>192</v>
      </c>
      <c r="B41" s="26" t="s">
        <v>235</v>
      </c>
      <c r="C41" s="5" t="s">
        <v>238</v>
      </c>
      <c r="D41" s="26" t="s">
        <v>199</v>
      </c>
      <c r="E41" s="26" t="s">
        <v>107</v>
      </c>
      <c r="F41" s="6">
        <v>1</v>
      </c>
      <c r="G41" s="29" t="s">
        <v>16</v>
      </c>
    </row>
    <row r="42" spans="1:7" ht="29.4" thickBot="1" x14ac:dyDescent="0.35">
      <c r="A42" s="14" t="s">
        <v>239</v>
      </c>
      <c r="B42" s="27" t="s">
        <v>235</v>
      </c>
      <c r="C42" s="7" t="s">
        <v>240</v>
      </c>
      <c r="D42" s="27" t="s">
        <v>158</v>
      </c>
      <c r="E42" s="27" t="s">
        <v>107</v>
      </c>
      <c r="F42" s="10">
        <v>100</v>
      </c>
      <c r="G42" s="30" t="s">
        <v>16</v>
      </c>
    </row>
    <row r="43" spans="1:7" ht="43.2" x14ac:dyDescent="0.3">
      <c r="A43" s="12" t="s">
        <v>241</v>
      </c>
      <c r="B43" s="28" t="s">
        <v>242</v>
      </c>
      <c r="C43" s="8" t="s">
        <v>243</v>
      </c>
      <c r="D43" s="28" t="s">
        <v>244</v>
      </c>
      <c r="E43" s="28" t="s">
        <v>107</v>
      </c>
      <c r="F43" s="9">
        <v>1</v>
      </c>
      <c r="G43" s="31" t="s">
        <v>16</v>
      </c>
    </row>
    <row r="44" spans="1:7" x14ac:dyDescent="0.3">
      <c r="A44" s="13" t="s">
        <v>245</v>
      </c>
      <c r="B44" s="26" t="s">
        <v>242</v>
      </c>
      <c r="C44" s="5" t="s">
        <v>246</v>
      </c>
      <c r="D44" s="26" t="s">
        <v>247</v>
      </c>
      <c r="E44" s="26" t="s">
        <v>107</v>
      </c>
      <c r="F44" s="6">
        <v>100</v>
      </c>
      <c r="G44" s="29" t="s">
        <v>16</v>
      </c>
    </row>
    <row r="45" spans="1:7" ht="58.2" thickBot="1" x14ac:dyDescent="0.35">
      <c r="A45" s="14" t="s">
        <v>179</v>
      </c>
      <c r="B45" s="27" t="s">
        <v>242</v>
      </c>
      <c r="C45" s="7" t="s">
        <v>185</v>
      </c>
      <c r="D45" s="27" t="s">
        <v>182</v>
      </c>
      <c r="E45" s="27" t="s">
        <v>107</v>
      </c>
      <c r="F45" s="10">
        <v>50</v>
      </c>
      <c r="G45" s="30" t="s">
        <v>16</v>
      </c>
    </row>
    <row r="46" spans="1:7" x14ac:dyDescent="0.3">
      <c r="A46" s="12" t="s">
        <v>239</v>
      </c>
      <c r="B46" s="28" t="s">
        <v>248</v>
      </c>
      <c r="C46" s="8" t="s">
        <v>249</v>
      </c>
      <c r="D46" s="28" t="s">
        <v>158</v>
      </c>
      <c r="E46" s="28" t="s">
        <v>107</v>
      </c>
      <c r="F46" s="9">
        <v>100</v>
      </c>
      <c r="G46" s="31" t="s">
        <v>16</v>
      </c>
    </row>
    <row r="47" spans="1:7" x14ac:dyDescent="0.3">
      <c r="A47" s="13" t="s">
        <v>250</v>
      </c>
      <c r="B47" s="26" t="s">
        <v>248</v>
      </c>
      <c r="C47" s="5" t="s">
        <v>251</v>
      </c>
      <c r="D47" s="26" t="s">
        <v>252</v>
      </c>
      <c r="E47" s="26" t="s">
        <v>107</v>
      </c>
      <c r="F47" s="6">
        <v>3</v>
      </c>
      <c r="G47" s="29" t="s">
        <v>16</v>
      </c>
    </row>
    <row r="48" spans="1:7" x14ac:dyDescent="0.3">
      <c r="A48" s="13" t="s">
        <v>253</v>
      </c>
      <c r="B48" s="26" t="s">
        <v>248</v>
      </c>
      <c r="C48" s="5" t="s">
        <v>254</v>
      </c>
      <c r="D48" s="26" t="s">
        <v>255</v>
      </c>
      <c r="E48" s="26" t="s">
        <v>107</v>
      </c>
      <c r="F48" s="6">
        <v>32</v>
      </c>
      <c r="G48" s="29" t="s">
        <v>16</v>
      </c>
    </row>
    <row r="49" spans="1:7" ht="72" x14ac:dyDescent="0.3">
      <c r="A49" s="13" t="s">
        <v>256</v>
      </c>
      <c r="B49" s="26" t="s">
        <v>248</v>
      </c>
      <c r="C49" s="5" t="s">
        <v>257</v>
      </c>
      <c r="D49" s="26" t="s">
        <v>258</v>
      </c>
      <c r="E49" s="26" t="s">
        <v>107</v>
      </c>
      <c r="F49" s="9">
        <v>1</v>
      </c>
      <c r="G49" s="29" t="s">
        <v>16</v>
      </c>
    </row>
    <row r="50" spans="1:7" x14ac:dyDescent="0.3">
      <c r="A50" s="13"/>
      <c r="B50" s="26"/>
      <c r="C50" s="5"/>
      <c r="D50" s="26"/>
      <c r="E50" s="26"/>
      <c r="F50" s="6"/>
      <c r="G50" s="29"/>
    </row>
    <row r="51" spans="1:7" x14ac:dyDescent="0.3">
      <c r="A51" s="13"/>
      <c r="B51" s="26"/>
      <c r="C51" s="5"/>
      <c r="D51" s="26"/>
      <c r="E51" s="26"/>
      <c r="F51" s="6"/>
      <c r="G51" s="29"/>
    </row>
    <row r="52" spans="1:7" x14ac:dyDescent="0.3">
      <c r="A52" s="13"/>
      <c r="B52" s="26"/>
      <c r="C52" s="5"/>
      <c r="D52" s="26"/>
      <c r="E52" s="26"/>
      <c r="F52" s="6"/>
      <c r="G52" s="29"/>
    </row>
    <row r="53" spans="1:7" x14ac:dyDescent="0.3">
      <c r="A53" s="13"/>
      <c r="B53" s="26"/>
      <c r="C53" s="5"/>
      <c r="D53" s="26"/>
      <c r="E53" s="26"/>
      <c r="F53" s="6"/>
      <c r="G53" s="29"/>
    </row>
  </sheetData>
  <dataValidations count="12">
    <dataValidation type="list" allowBlank="1" showInputMessage="1" showErrorMessage="1" sqref="F50:F53" xr:uid="{8B2ACB76-ED7E-4BDF-9A85-B2112F39B866}">
      <formula1>"fs, fel"</formula1>
    </dataValidation>
    <dataValidation type="whole" operator="greaterThan" allowBlank="1" showInputMessage="1" showErrorMessage="1" sqref="F12 F10 F18 F20 F25 F23 F38" xr:uid="{3798FD8E-D43D-4D9F-BE2C-52321394B345}">
      <formula1>0</formula1>
    </dataValidation>
    <dataValidation type="list" allowBlank="1" showInputMessage="1" showErrorMessage="1" sqref="F13:F17 F21 F41 F43" xr:uid="{71E12662-7031-4247-910F-BB7CE1CF6CD0}">
      <formula1>"1, 2"</formula1>
    </dataValidation>
    <dataValidation type="list" allowBlank="1" showInputMessage="1" showErrorMessage="1" sqref="F19 F26 F36 F40 F49 F47" xr:uid="{37FEDC31-329E-44E8-806D-0ED1512CF102}">
      <formula1>"1, 2, 3"</formula1>
    </dataValidation>
    <dataValidation type="whole" allowBlank="1" showInputMessage="1" showErrorMessage="1" sqref="F8" xr:uid="{42D8AC35-50A5-40BC-BBFA-BE08B273A500}">
      <formula1>1</formula1>
      <formula2>20</formula2>
    </dataValidation>
    <dataValidation type="decimal" allowBlank="1" showInputMessage="1" showErrorMessage="1" sqref="F2:F3 F9" xr:uid="{2B8FFCC1-6704-4765-8AD4-006A185633FA}">
      <formula1>0</formula1>
      <formula2>1</formula2>
    </dataValidation>
    <dataValidation type="list" allowBlank="1" showInputMessage="1" showErrorMessage="1" sqref="F4" xr:uid="{3A0BB9DE-DDAB-4BD6-B6E2-43F1FC222D8A}">
      <formula1>"1, 2, 3, 4, 5, 6"</formula1>
    </dataValidation>
    <dataValidation type="whole" allowBlank="1" showInputMessage="1" showErrorMessage="1" sqref="F5:F6" xr:uid="{F4E45863-F6B6-49B0-9AF0-77CB1F5B4777}">
      <formula1>10</formula1>
      <formula2>1000000</formula2>
    </dataValidation>
    <dataValidation type="list" allowBlank="1" showInputMessage="1" showErrorMessage="1" sqref="F7" xr:uid="{6B215F84-9F1B-41AC-8192-16AB63AE3266}">
      <formula1>"0, 1"</formula1>
    </dataValidation>
    <dataValidation type="list" allowBlank="1" showInputMessage="1" showErrorMessage="1" sqref="F22" xr:uid="{47B450A3-D6D0-4908-B7DA-713464E39E93}">
      <formula1>"1, 2, 3, 4"</formula1>
    </dataValidation>
    <dataValidation type="whole" operator="greaterThan" allowBlank="1" showInputMessage="1" showErrorMessage="1" sqref="F24 F29 F32 F34:F35 F37 F39 F44:F46 F42 F48" xr:uid="{4036D9AA-DD26-43F2-86CA-83C98477498F}">
      <formula1>1</formula1>
    </dataValidation>
    <dataValidation type="decimal" operator="greaterThan" allowBlank="1" showInputMessage="1" showErrorMessage="1" sqref="F27:F28 F30:F31 F33" xr:uid="{E87A8820-6156-4E10-8AF9-95041973A5CF}">
      <formula1>0</formula1>
    </dataValidation>
  </dataValidations>
  <pageMargins left="0.7" right="0.7" top="0.75" bottom="0.75" header="0.3" footer="0.3"/>
  <headerFooter>
    <oddFooter>&amp;C_x000D_&amp;1#&amp;"BMW Group Condensed"&amp;12&amp;KC00000 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B3F0A-B85A-4162-A12D-AC7176B54015}">
  <dimension ref="A1:G26"/>
  <sheetViews>
    <sheetView zoomScale="115" zoomScaleNormal="115" workbookViewId="0">
      <selection activeCell="F3" sqref="F3"/>
    </sheetView>
  </sheetViews>
  <sheetFormatPr defaultColWidth="9.109375" defaultRowHeight="14.4" x14ac:dyDescent="0.3"/>
  <cols>
    <col min="1" max="1" width="22.109375" bestFit="1" customWidth="1"/>
    <col min="2" max="2" width="13.109375" style="37" customWidth="1"/>
    <col min="3" max="3" width="48" bestFit="1" customWidth="1"/>
    <col min="4" max="5" width="10.33203125" customWidth="1"/>
  </cols>
  <sheetData>
    <row r="1" spans="1:7" ht="15" thickBot="1" x14ac:dyDescent="0.35">
      <c r="A1" s="32" t="s">
        <v>1</v>
      </c>
      <c r="B1" s="36" t="s">
        <v>17</v>
      </c>
      <c r="C1" s="33" t="s">
        <v>14</v>
      </c>
      <c r="D1" s="34" t="s">
        <v>3</v>
      </c>
      <c r="E1" s="33" t="s">
        <v>46</v>
      </c>
      <c r="F1" s="33" t="s">
        <v>15</v>
      </c>
      <c r="G1" s="35" t="s">
        <v>2</v>
      </c>
    </row>
    <row r="2" spans="1:7" ht="72.599999999999994" thickTop="1" x14ac:dyDescent="0.3">
      <c r="A2" s="13" t="s">
        <v>38</v>
      </c>
      <c r="B2" s="26" t="s">
        <v>63</v>
      </c>
      <c r="C2" s="5" t="s">
        <v>37</v>
      </c>
      <c r="D2" s="26" t="s">
        <v>36</v>
      </c>
      <c r="E2" s="26" t="s">
        <v>47</v>
      </c>
      <c r="F2" s="6">
        <v>1</v>
      </c>
      <c r="G2" s="29" t="s">
        <v>16</v>
      </c>
    </row>
    <row r="3" spans="1:7" ht="72" x14ac:dyDescent="0.3">
      <c r="A3" s="13" t="s">
        <v>39</v>
      </c>
      <c r="B3" s="26" t="s">
        <v>63</v>
      </c>
      <c r="C3" s="5" t="s">
        <v>41</v>
      </c>
      <c r="D3" s="26" t="s">
        <v>42</v>
      </c>
      <c r="E3" s="26" t="s">
        <v>48</v>
      </c>
      <c r="F3" s="6">
        <v>1</v>
      </c>
      <c r="G3" s="29" t="s">
        <v>16</v>
      </c>
    </row>
    <row r="4" spans="1:7" ht="72" x14ac:dyDescent="0.3">
      <c r="A4" s="13" t="s">
        <v>40</v>
      </c>
      <c r="B4" s="26" t="s">
        <v>63</v>
      </c>
      <c r="C4" s="5" t="s">
        <v>41</v>
      </c>
      <c r="D4" s="26" t="s">
        <v>43</v>
      </c>
      <c r="E4" s="26" t="s">
        <v>48</v>
      </c>
      <c r="F4" s="6">
        <v>1</v>
      </c>
      <c r="G4" s="29" t="s">
        <v>16</v>
      </c>
    </row>
    <row r="5" spans="1:7" x14ac:dyDescent="0.3">
      <c r="A5" s="13" t="s">
        <v>44</v>
      </c>
      <c r="B5" s="26" t="s">
        <v>63</v>
      </c>
      <c r="C5" s="5" t="s">
        <v>45</v>
      </c>
      <c r="D5" s="26" t="s">
        <v>65</v>
      </c>
      <c r="E5" s="26" t="s">
        <v>49</v>
      </c>
      <c r="F5" s="43">
        <v>1E-3</v>
      </c>
      <c r="G5" s="29" t="s">
        <v>16</v>
      </c>
    </row>
    <row r="6" spans="1:7" x14ac:dyDescent="0.3">
      <c r="A6" s="38" t="s">
        <v>50</v>
      </c>
      <c r="B6" s="39" t="s">
        <v>63</v>
      </c>
      <c r="C6" s="40" t="s">
        <v>51</v>
      </c>
      <c r="D6" s="39" t="s">
        <v>20</v>
      </c>
      <c r="E6" s="39" t="s">
        <v>49</v>
      </c>
      <c r="F6" s="43">
        <v>9.9999999999999998E-13</v>
      </c>
      <c r="G6" s="41" t="s">
        <v>16</v>
      </c>
    </row>
    <row r="7" spans="1:7" ht="58.2" thickBot="1" x14ac:dyDescent="0.35">
      <c r="A7" s="14" t="s">
        <v>52</v>
      </c>
      <c r="B7" s="27" t="s">
        <v>63</v>
      </c>
      <c r="C7" s="7" t="s">
        <v>53</v>
      </c>
      <c r="D7" s="27" t="s">
        <v>54</v>
      </c>
      <c r="E7" s="27" t="s">
        <v>55</v>
      </c>
      <c r="F7" s="42">
        <v>0.1</v>
      </c>
      <c r="G7" s="30" t="s">
        <v>18</v>
      </c>
    </row>
    <row r="8" spans="1:7" x14ac:dyDescent="0.3">
      <c r="A8" s="12" t="s">
        <v>84</v>
      </c>
      <c r="B8" s="28" t="s">
        <v>23</v>
      </c>
      <c r="C8" s="8" t="s">
        <v>154</v>
      </c>
      <c r="D8" s="28" t="s">
        <v>155</v>
      </c>
      <c r="E8" s="28" t="s">
        <v>55</v>
      </c>
      <c r="F8" s="45">
        <v>3.9300000000000003E-3</v>
      </c>
      <c r="G8" s="31" t="s">
        <v>18</v>
      </c>
    </row>
    <row r="9" spans="1:7" x14ac:dyDescent="0.3">
      <c r="A9" s="13" t="s">
        <v>85</v>
      </c>
      <c r="B9" s="26" t="s">
        <v>23</v>
      </c>
      <c r="C9" s="5" t="s">
        <v>150</v>
      </c>
      <c r="D9" s="26" t="s">
        <v>153</v>
      </c>
      <c r="E9" s="26" t="s">
        <v>49</v>
      </c>
      <c r="F9" s="6">
        <v>0</v>
      </c>
      <c r="G9" s="29" t="s">
        <v>151</v>
      </c>
    </row>
    <row r="10" spans="1:7" x14ac:dyDescent="0.3">
      <c r="A10" s="13" t="s">
        <v>160</v>
      </c>
      <c r="B10" s="26" t="s">
        <v>23</v>
      </c>
      <c r="C10" s="5" t="s">
        <v>161</v>
      </c>
      <c r="D10" s="26" t="s">
        <v>162</v>
      </c>
      <c r="E10" s="26" t="s">
        <v>49</v>
      </c>
      <c r="F10" s="6">
        <v>0</v>
      </c>
      <c r="G10" s="29" t="s">
        <v>151</v>
      </c>
    </row>
    <row r="11" spans="1:7" x14ac:dyDescent="0.3">
      <c r="A11" s="13" t="s">
        <v>86</v>
      </c>
      <c r="B11" s="26" t="s">
        <v>23</v>
      </c>
      <c r="C11" s="5" t="s">
        <v>149</v>
      </c>
      <c r="D11" s="26" t="s">
        <v>152</v>
      </c>
      <c r="E11" s="26" t="s">
        <v>102</v>
      </c>
      <c r="F11" s="11">
        <v>20</v>
      </c>
      <c r="G11" s="29" t="s">
        <v>148</v>
      </c>
    </row>
    <row r="12" spans="1:7" ht="28.8" x14ac:dyDescent="0.3">
      <c r="A12" s="13" t="s">
        <v>87</v>
      </c>
      <c r="B12" s="26" t="s">
        <v>23</v>
      </c>
      <c r="C12" s="5" t="s">
        <v>144</v>
      </c>
      <c r="D12" s="26" t="s">
        <v>147</v>
      </c>
      <c r="E12" s="26" t="s">
        <v>48</v>
      </c>
      <c r="F12" s="6">
        <v>0</v>
      </c>
      <c r="G12" s="29" t="s">
        <v>16</v>
      </c>
    </row>
    <row r="13" spans="1:7" ht="29.4" thickBot="1" x14ac:dyDescent="0.35">
      <c r="A13" s="14" t="s">
        <v>88</v>
      </c>
      <c r="B13" s="27" t="s">
        <v>23</v>
      </c>
      <c r="C13" s="7" t="s">
        <v>145</v>
      </c>
      <c r="D13" s="27" t="s">
        <v>146</v>
      </c>
      <c r="E13" s="27" t="s">
        <v>48</v>
      </c>
      <c r="F13" s="10">
        <v>0</v>
      </c>
      <c r="G13" s="30" t="s">
        <v>16</v>
      </c>
    </row>
    <row r="14" spans="1:7" x14ac:dyDescent="0.3">
      <c r="A14" s="13"/>
      <c r="B14" s="26"/>
      <c r="C14" s="5"/>
      <c r="D14" s="26"/>
      <c r="E14" s="26"/>
      <c r="F14" s="6"/>
      <c r="G14" s="29"/>
    </row>
    <row r="15" spans="1:7" x14ac:dyDescent="0.3">
      <c r="A15" s="13"/>
      <c r="B15" s="26"/>
      <c r="C15" s="5"/>
      <c r="D15" s="26"/>
      <c r="E15" s="26"/>
      <c r="F15" s="6"/>
      <c r="G15" s="29"/>
    </row>
    <row r="16" spans="1:7" x14ac:dyDescent="0.3">
      <c r="A16" s="13"/>
      <c r="B16" s="26"/>
      <c r="C16" s="5"/>
      <c r="D16" s="26"/>
      <c r="E16" s="26"/>
      <c r="F16" s="6"/>
      <c r="G16" s="29"/>
    </row>
    <row r="17" spans="1:7" x14ac:dyDescent="0.3">
      <c r="A17" s="13"/>
      <c r="B17" s="26"/>
      <c r="C17" s="5"/>
      <c r="D17" s="26"/>
      <c r="E17" s="26"/>
      <c r="F17" s="6"/>
      <c r="G17" s="29"/>
    </row>
    <row r="18" spans="1:7" x14ac:dyDescent="0.3">
      <c r="A18" s="13"/>
      <c r="B18" s="26"/>
      <c r="C18" s="5"/>
      <c r="D18" s="26"/>
      <c r="E18" s="26"/>
      <c r="F18" s="6"/>
      <c r="G18" s="29"/>
    </row>
    <row r="19" spans="1:7" x14ac:dyDescent="0.3">
      <c r="A19" s="13"/>
      <c r="B19" s="26"/>
      <c r="C19" s="5"/>
      <c r="D19" s="26"/>
      <c r="E19" s="26"/>
      <c r="F19" s="6"/>
      <c r="G19" s="29"/>
    </row>
    <row r="20" spans="1:7" x14ac:dyDescent="0.3">
      <c r="A20" s="13"/>
      <c r="B20" s="26"/>
      <c r="C20" s="5"/>
      <c r="D20" s="26"/>
      <c r="E20" s="26"/>
      <c r="F20" s="6"/>
      <c r="G20" s="29"/>
    </row>
    <row r="21" spans="1:7" x14ac:dyDescent="0.3">
      <c r="A21" s="13"/>
      <c r="B21" s="26"/>
      <c r="C21" s="5"/>
      <c r="D21" s="26"/>
      <c r="E21" s="26"/>
      <c r="F21" s="6"/>
      <c r="G21" s="29"/>
    </row>
    <row r="22" spans="1:7" x14ac:dyDescent="0.3">
      <c r="A22" s="13"/>
      <c r="B22" s="26"/>
      <c r="C22" s="5"/>
      <c r="D22" s="26"/>
      <c r="E22" s="26"/>
      <c r="F22" s="6"/>
      <c r="G22" s="29"/>
    </row>
    <row r="23" spans="1:7" x14ac:dyDescent="0.3">
      <c r="A23" s="13"/>
      <c r="B23" s="26"/>
      <c r="C23" s="5"/>
      <c r="D23" s="26"/>
      <c r="E23" s="26"/>
      <c r="F23" s="6"/>
      <c r="G23" s="29"/>
    </row>
    <row r="24" spans="1:7" x14ac:dyDescent="0.3">
      <c r="A24" s="13"/>
      <c r="B24" s="26"/>
      <c r="C24" s="5"/>
      <c r="D24" s="26"/>
      <c r="E24" s="26"/>
      <c r="F24" s="6"/>
      <c r="G24" s="29"/>
    </row>
    <row r="25" spans="1:7" x14ac:dyDescent="0.3">
      <c r="A25" s="13"/>
      <c r="B25" s="26"/>
      <c r="C25" s="5"/>
      <c r="D25" s="26"/>
      <c r="E25" s="26"/>
      <c r="F25" s="6"/>
      <c r="G25" s="29"/>
    </row>
    <row r="26" spans="1:7" x14ac:dyDescent="0.3">
      <c r="A26" s="13"/>
      <c r="B26" s="26"/>
      <c r="C26" s="5"/>
      <c r="D26" s="26"/>
      <c r="E26" s="26"/>
      <c r="F26" s="6"/>
      <c r="G26" s="29"/>
    </row>
  </sheetData>
  <dataValidations count="6">
    <dataValidation type="list" allowBlank="1" showInputMessage="1" showErrorMessage="1" sqref="F2:F4" xr:uid="{697C1F42-E75F-4B7B-8981-25DC1390010D}">
      <formula1>"1, 2, 3, 4"</formula1>
    </dataValidation>
    <dataValidation type="decimal" operator="greaterThan" allowBlank="1" showInputMessage="1" showErrorMessage="1" sqref="F5:F6" xr:uid="{E37BC251-E8D8-40F6-9FAF-822D8D9984D3}">
      <formula1>0</formula1>
    </dataValidation>
    <dataValidation type="decimal" allowBlank="1" showInputMessage="1" showErrorMessage="1" sqref="F7:F8" xr:uid="{A51E82E7-1822-482E-8232-D090CCE8FF42}">
      <formula1>0</formula1>
      <formula2>1</formula2>
    </dataValidation>
    <dataValidation type="list" allowBlank="1" showInputMessage="1" showErrorMessage="1" sqref="F12:F13" xr:uid="{BEBAF08F-EDA5-4C4D-BDED-841DA49ED29D}">
      <formula1>"0, 1"</formula1>
    </dataValidation>
    <dataValidation type="decimal" operator="greaterThanOrEqual" allowBlank="1" showInputMessage="1" showErrorMessage="1" sqref="F9:F10" xr:uid="{A50DEA59-3116-48A6-9A6B-FEC85B06DD9A}">
      <formula1>0</formula1>
    </dataValidation>
    <dataValidation type="list" allowBlank="1" showInputMessage="1" showErrorMessage="1" sqref="F14:F26" xr:uid="{C68A9EBE-58BC-4060-95BF-8B9C15EAA08F}">
      <formula1>"fs, fel"</formula1>
    </dataValidation>
  </dataValidations>
  <pageMargins left="0.7" right="0.7" top="0.75" bottom="0.75" header="0.3" footer="0.3"/>
  <pageSetup paperSize="9" orientation="portrait" r:id="rId1"/>
  <headerFooter>
    <oddFooter>&amp;C_x000D_&amp;1#&amp;"BMW Group Condensed"&amp;12&amp;KC00000 CONFIDENTIAL</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Exp</vt:lpstr>
      <vt:lpstr>Dat</vt:lpstr>
      <vt:lpstr>Mdl</vt:lpstr>
      <vt:lpstr>Par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Pascal Schirmer</dc:creator>
  <cp:lastModifiedBy>Pascal Schirmer</cp:lastModifiedBy>
  <dcterms:created xsi:type="dcterms:W3CDTF">2022-10-27T16:38:41Z</dcterms:created>
  <dcterms:modified xsi:type="dcterms:W3CDTF">2025-05-11T17:52:20Z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6935750-240b-48e4-a615-66942a738439_Enabled">
    <vt:lpwstr>true</vt:lpwstr>
  </property>
  <property fmtid="{D5CDD505-2E9C-101B-9397-08002B2CF9AE}" pid="3" name="MSIP_Label_e6935750-240b-48e4-a615-66942a738439_SetDate">
    <vt:lpwstr>2024-10-14T04:55:28Z</vt:lpwstr>
  </property>
  <property fmtid="{D5CDD505-2E9C-101B-9397-08002B2CF9AE}" pid="4" name="MSIP_Label_e6935750-240b-48e4-a615-66942a738439_Method">
    <vt:lpwstr>Standard</vt:lpwstr>
  </property>
  <property fmtid="{D5CDD505-2E9C-101B-9397-08002B2CF9AE}" pid="5" name="MSIP_Label_e6935750-240b-48e4-a615-66942a738439_Name">
    <vt:lpwstr>e6935750-240b-48e4-a615-66942a738439</vt:lpwstr>
  </property>
  <property fmtid="{D5CDD505-2E9C-101B-9397-08002B2CF9AE}" pid="6" name="MSIP_Label_e6935750-240b-48e4-a615-66942a738439_SiteId">
    <vt:lpwstr>ce849bab-cc1c-465b-b62e-18f07c9ac198</vt:lpwstr>
  </property>
  <property fmtid="{D5CDD505-2E9C-101B-9397-08002B2CF9AE}" pid="7" name="MSIP_Label_e6935750-240b-48e4-a615-66942a738439_ActionId">
    <vt:lpwstr>7f46891f-6ad4-41f1-90f7-e63021116d61</vt:lpwstr>
  </property>
  <property fmtid="{D5CDD505-2E9C-101B-9397-08002B2CF9AE}" pid="8" name="MSIP_Label_e6935750-240b-48e4-a615-66942a738439_ContentBits">
    <vt:lpwstr>2</vt:lpwstr>
  </property>
</Properties>
</file>